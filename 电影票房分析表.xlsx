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票房分析总览" sheetId="1" state="visible" r:id="rId1"/>
    <sheet xmlns:r="http://schemas.openxmlformats.org/officeDocument/2006/relationships" name="票房预估分析" sheetId="2" state="visible" r:id="rId2"/>
    <sheet xmlns:r="http://schemas.openxmlformats.org/officeDocument/2006/relationships" name="预售数据明细" sheetId="3" state="visible" r:id="rId3"/>
    <sheet xmlns:r="http://schemas.openxmlformats.org/officeDocument/2006/relationships" name="来龙餐馆预售追踪" sheetId="4" state="visible" r:id="rId4"/>
    <sheet xmlns:r="http://schemas.openxmlformats.org/officeDocument/2006/relationships" name="预售增长分析" sheetId="5" state="visible" r:id="rId5"/>
    <sheet xmlns:r="http://schemas.openxmlformats.org/officeDocument/2006/relationships" name="抓娃娃基准对比" sheetId="6" state="visible" r:id="rId6"/>
    <sheet xmlns:r="http://schemas.openxmlformats.org/officeDocument/2006/relationships" name="预售增长预测" sheetId="7" state="visible" r:id="rId7"/>
    <sheet xmlns:r="http://schemas.openxmlformats.org/officeDocument/2006/relationships" name="想看数据明细" sheetId="8" state="visible" r:id="rId8"/>
    <sheet xmlns:r="http://schemas.openxmlformats.org/officeDocument/2006/relationships" name="预售与票房节点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¥#,##0"/>
    <numFmt numFmtId="165" formatCode="#,##0.0"/>
    <numFmt numFmtId="166" formatCode="¥#,##0"/>
    <numFmt numFmtId="167" formatCode="0.0"/>
  </numFmts>
  <fonts count="4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i val="1"/>
      <color rgb="FFFFFFFF"/>
      <sz val="10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b val="1"/>
      <color rgb="FF1F2937"/>
      <sz val="11"/>
    </font>
    <font>
      <name val="Arial"/>
      <charset val="1"/>
      <family val="0"/>
      <color rgb="FF333333"/>
      <sz val="11"/>
    </font>
    <font>
      <name val="Noto Sans CJK SC"/>
      <charset val="1"/>
      <family val="2"/>
      <color rgb="FF333333"/>
      <sz val="11"/>
    </font>
    <font>
      <name val="Arial"/>
      <charset val="1"/>
      <family val="0"/>
      <b val="1"/>
      <color rgb="FF1F4E79"/>
      <sz val="11"/>
    </font>
    <font>
      <name val="Noto Sans CJK SC"/>
      <charset val="1"/>
      <family val="2"/>
      <b val="1"/>
      <color rgb="FF7F6000"/>
      <sz val="11"/>
    </font>
    <font>
      <name val="Noto Sans CJK SC"/>
      <charset val="1"/>
      <family val="2"/>
      <b val="1"/>
      <color rgb="FF1F4E79"/>
      <sz val="11"/>
    </font>
    <font>
      <name val="Noto Sans CJK SC"/>
      <charset val="1"/>
      <family val="2"/>
      <i val="1"/>
      <color rgb="FF808080"/>
      <sz val="9"/>
    </font>
    <font>
      <name val="Arial"/>
      <charset val="1"/>
      <family val="0"/>
      <b val="1"/>
      <color rgb="FF833C00"/>
      <sz val="11"/>
    </font>
    <font>
      <name val="Noto Sans CJK SC"/>
      <family val="2"/>
      <b val="1"/>
      <color rgb="FF833C00"/>
      <sz val="11"/>
    </font>
    <font>
      <name val="Arial"/>
      <charset val="1"/>
      <family val="0"/>
      <b val="1"/>
      <color rgb="FF1F2937"/>
      <sz val="11"/>
    </font>
    <font>
      <name val="Noto Sans CJK SC"/>
      <family val="2"/>
      <b val="1"/>
      <color rgb="FF1F2937"/>
      <sz val="11"/>
    </font>
    <font>
      <name val="Arial"/>
      <charset val="1"/>
      <family val="0"/>
      <b val="1"/>
      <color rgb="FF375623"/>
      <sz val="11"/>
    </font>
    <font>
      <name val="Noto Sans CJK SC"/>
      <family val="2"/>
      <b val="1"/>
      <color rgb="FF375623"/>
      <sz val="11"/>
    </font>
    <font>
      <name val="Noto Sans CJK SC"/>
      <family val="2"/>
      <color rgb="FF333333"/>
      <sz val="11"/>
    </font>
    <font>
      <name val="Noto Sans CJK SC"/>
      <family val="2"/>
      <b val="1"/>
      <color rgb="FF1F4E79"/>
      <sz val="11"/>
    </font>
    <font>
      <name val="Noto Sans CJK SC"/>
      <family val="2"/>
      <b val="1"/>
      <color rgb="FFFFFFFF"/>
      <sz val="14"/>
    </font>
    <font>
      <name val="Noto Sans CJK SC"/>
      <family val="2"/>
      <i val="1"/>
      <color rgb="FFFFFFFF"/>
      <sz val="10"/>
    </font>
    <font>
      <name val="Arial"/>
      <charset val="1"/>
      <family val="0"/>
      <i val="1"/>
      <color rgb="FFFFFFFF"/>
      <sz val="10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Noto Sans CJK SC"/>
      <family val="2"/>
      <i val="1"/>
      <color rgb="FF808080"/>
      <sz val="9"/>
    </font>
    <font>
      <name val="Arial"/>
      <charset val="1"/>
      <family val="0"/>
      <i val="1"/>
      <color rgb="FF808080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333333"/>
      <sz val="11"/>
    </font>
    <font>
      <name val="Arial"/>
      <b val="1"/>
      <color rgb="001F4E79"/>
      <sz val="11"/>
    </font>
    <font>
      <name val="Arial"/>
      <i val="1"/>
      <color rgb="00808080"/>
      <sz val="9"/>
    </font>
    <font>
      <name val="Arial"/>
      <b val="1"/>
      <color rgb="001F2937"/>
      <sz val="11"/>
    </font>
    <font>
      <name val="Arial"/>
      <b val="1"/>
      <color rgb="00C00000"/>
      <sz val="11"/>
    </font>
    <font>
      <name val="Arial"/>
      <b val="1"/>
      <color rgb="002E7D32"/>
      <sz val="11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i val="1"/>
      <color rgb="00666666"/>
      <sz val="9"/>
    </font>
    <font>
      <name val="微软雅黑"/>
      <b val="1"/>
      <color rgb="00FFFFFF"/>
      <sz val="10"/>
    </font>
    <font>
      <name val="微软雅黑"/>
      <b val="1"/>
      <color rgb="00FF0000"/>
      <sz val="10"/>
    </font>
  </fonts>
  <fills count="27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395"/>
        <bgColor rgb="FF1F4E79"/>
      </patternFill>
    </fill>
    <fill>
      <patternFill patternType="solid">
        <fgColor rgb="FFFFFFFF"/>
        <bgColor rgb="FFF2F6FC"/>
      </patternFill>
    </fill>
    <fill>
      <patternFill patternType="solid">
        <fgColor rgb="FFDDEBF7"/>
        <bgColor rgb="FFE2EFDA"/>
      </patternFill>
    </fill>
    <fill>
      <patternFill patternType="solid">
        <fgColor rgb="FFF2F6FC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4472C4"/>
        <bgColor rgb="FF666699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C00000"/>
        <bgColor rgb="FF800000"/>
      </patternFill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2F6FC"/>
      </patternFill>
    </fill>
    <fill>
      <patternFill patternType="solid">
        <fgColor rgb="004472C4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B9BD5"/>
        <bgColor rgb="005B9BD5"/>
      </patternFill>
    </fill>
    <fill>
      <patternFill patternType="solid">
        <fgColor rgb="00D6EAF8"/>
        <bgColor rgb="00D6EAF8"/>
      </patternFill>
    </fill>
    <fill>
      <patternFill patternType="solid">
        <fgColor rgb="00FCE4EC"/>
        <bgColor rgb="00FCE4EC"/>
      </patternFill>
    </fill>
  </fills>
  <borders count="1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2E5395"/>
      </top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medium">
        <color rgb="002E5395"/>
      </top>
      <bottom style="thin">
        <color rgb="00B4C6E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2" fontId="8" fillId="4" borderId="1" applyAlignment="1" pivotButton="0" quotePrefix="0" xfId="0">
      <alignment horizontal="right" vertical="center"/>
    </xf>
    <xf numFmtId="2" fontId="8" fillId="6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3" borderId="0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165" fontId="10" fillId="5" borderId="2" applyAlignment="1" pivotButton="0" quotePrefix="0" xfId="0">
      <alignment horizontal="right" vertical="center"/>
    </xf>
    <xf numFmtId="0" fontId="20" fillId="6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right" vertical="center"/>
    </xf>
    <xf numFmtId="0" fontId="20" fillId="4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right" vertical="center"/>
    </xf>
    <xf numFmtId="0" fontId="12" fillId="5" borderId="2" applyAlignment="1" pivotButton="0" quotePrefix="0" xfId="0">
      <alignment horizontal="center" vertical="center" wrapText="1"/>
    </xf>
    <xf numFmtId="3" fontId="10" fillId="5" borderId="2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164" fontId="10" fillId="5" borderId="1" applyAlignment="1" pivotButton="0" quotePrefix="0" xfId="0">
      <alignment horizontal="right" vertical="center"/>
    </xf>
    <xf numFmtId="0" fontId="20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 wrapText="1"/>
    </xf>
    <xf numFmtId="166" fontId="9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2" fontId="8" fillId="4" borderId="1" applyAlignment="1" pivotButton="0" quotePrefix="0" xfId="0">
      <alignment horizontal="right" vertical="center"/>
    </xf>
    <xf numFmtId="2" fontId="8" fillId="6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3" borderId="0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165" fontId="10" fillId="5" borderId="2" applyAlignment="1" pivotButton="0" quotePrefix="0" xfId="0">
      <alignment horizontal="right" vertical="center"/>
    </xf>
    <xf numFmtId="0" fontId="20" fillId="6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right" vertical="center"/>
    </xf>
    <xf numFmtId="0" fontId="20" fillId="4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 wrapText="1"/>
    </xf>
    <xf numFmtId="0" fontId="29" fillId="12" borderId="0" applyAlignment="1" pivotButton="0" quotePrefix="0" xfId="0">
      <alignment horizontal="center" vertical="center" wrapText="1"/>
    </xf>
    <xf numFmtId="0" fontId="30" fillId="13" borderId="0" applyAlignment="1" pivotButton="0" quotePrefix="0" xfId="0">
      <alignment horizontal="center" vertical="center" wrapText="1"/>
    </xf>
    <xf numFmtId="0" fontId="31" fillId="13" borderId="7" applyAlignment="1" pivotButton="0" quotePrefix="0" xfId="0">
      <alignment horizontal="center" vertical="center" wrapText="1"/>
    </xf>
    <xf numFmtId="0" fontId="32" fillId="14" borderId="7" applyAlignment="1" pivotButton="0" quotePrefix="0" xfId="0">
      <alignment horizontal="center" vertical="center" wrapText="1"/>
    </xf>
    <xf numFmtId="165" fontId="33" fillId="15" borderId="7" applyAlignment="1" pivotButton="0" quotePrefix="0" xfId="0">
      <alignment horizontal="right" vertical="center"/>
    </xf>
    <xf numFmtId="165" fontId="32" fillId="14" borderId="7" applyAlignment="1" pivotButton="0" quotePrefix="0" xfId="0">
      <alignment horizontal="right" vertical="center"/>
    </xf>
    <xf numFmtId="0" fontId="32" fillId="14" borderId="7" applyAlignment="1" pivotButton="0" quotePrefix="0" xfId="0">
      <alignment horizontal="left" vertical="center" wrapText="1"/>
    </xf>
    <xf numFmtId="0" fontId="32" fillId="16" borderId="7" applyAlignment="1" pivotButton="0" quotePrefix="0" xfId="0">
      <alignment horizontal="center" vertical="center" wrapText="1"/>
    </xf>
    <xf numFmtId="0" fontId="32" fillId="16" borderId="7" applyAlignment="1" pivotButton="0" quotePrefix="0" xfId="0">
      <alignment horizontal="right" vertical="center"/>
    </xf>
    <xf numFmtId="0" fontId="32" fillId="16" borderId="7" applyAlignment="1" pivotButton="0" quotePrefix="0" xfId="0">
      <alignment horizontal="left" vertical="center" wrapText="1"/>
    </xf>
    <xf numFmtId="0" fontId="32" fillId="14" borderId="7" applyAlignment="1" pivotButton="0" quotePrefix="0" xfId="0">
      <alignment horizontal="right" vertical="center"/>
    </xf>
    <xf numFmtId="0" fontId="34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12" fillId="5" borderId="2" applyAlignment="1" pivotButton="0" quotePrefix="0" xfId="0">
      <alignment horizontal="center" vertical="center" wrapText="1"/>
    </xf>
    <xf numFmtId="3" fontId="10" fillId="5" borderId="2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166" fontId="33" fillId="15" borderId="1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31" fillId="17" borderId="0" applyAlignment="1" pivotButton="0" quotePrefix="0" xfId="0">
      <alignment horizontal="left" vertical="center" wrapText="1"/>
    </xf>
    <xf numFmtId="165" fontId="32" fillId="16" borderId="7" applyAlignment="1" pivotButton="0" quotePrefix="0" xfId="0">
      <alignment horizontal="right" vertical="center"/>
    </xf>
    <xf numFmtId="0" fontId="33" fillId="15" borderId="12" applyAlignment="1" pivotButton="0" quotePrefix="0" xfId="0">
      <alignment horizontal="center" vertical="center" wrapText="1"/>
    </xf>
    <xf numFmtId="165" fontId="33" fillId="15" borderId="12" applyAlignment="1" pivotButton="0" quotePrefix="0" xfId="0">
      <alignment horizontal="center" vertical="center" wrapText="1"/>
    </xf>
    <xf numFmtId="0" fontId="33" fillId="15" borderId="12" applyAlignment="1" pivotButton="0" quotePrefix="0" xfId="0">
      <alignment horizontal="left" vertical="center" wrapText="1"/>
    </xf>
    <xf numFmtId="165" fontId="33" fillId="14" borderId="7" applyAlignment="1" pivotButton="0" quotePrefix="0" xfId="0">
      <alignment horizontal="right" vertical="center"/>
    </xf>
    <xf numFmtId="0" fontId="32" fillId="18" borderId="7" applyAlignment="1" pivotButton="0" quotePrefix="0" xfId="0">
      <alignment horizontal="center" vertical="center" wrapText="1"/>
    </xf>
    <xf numFmtId="165" fontId="33" fillId="18" borderId="7" applyAlignment="1" pivotButton="0" quotePrefix="0" xfId="0">
      <alignment horizontal="right" vertical="center"/>
    </xf>
    <xf numFmtId="165" fontId="32" fillId="18" borderId="7" applyAlignment="1" pivotButton="0" quotePrefix="0" xfId="0">
      <alignment horizontal="right" vertical="center"/>
    </xf>
    <xf numFmtId="0" fontId="32" fillId="18" borderId="7" applyAlignment="1" pivotButton="0" quotePrefix="0" xfId="0">
      <alignment horizontal="left" vertical="center" wrapText="1"/>
    </xf>
    <xf numFmtId="165" fontId="33" fillId="16" borderId="7" applyAlignment="1" pivotButton="0" quotePrefix="0" xfId="0">
      <alignment horizontal="right" vertical="center"/>
    </xf>
    <xf numFmtId="0" fontId="32" fillId="19" borderId="7" applyAlignment="1" pivotButton="0" quotePrefix="0" xfId="0">
      <alignment horizontal="center" vertical="center" wrapText="1"/>
    </xf>
    <xf numFmtId="165" fontId="36" fillId="19" borderId="7" applyAlignment="1" pivotButton="0" quotePrefix="0" xfId="0">
      <alignment horizontal="right" vertical="center"/>
    </xf>
    <xf numFmtId="165" fontId="32" fillId="19" borderId="7" applyAlignment="1" pivotButton="0" quotePrefix="0" xfId="0">
      <alignment horizontal="right" vertical="center"/>
    </xf>
    <xf numFmtId="0" fontId="36" fillId="19" borderId="7" applyAlignment="1" pivotButton="0" quotePrefix="0" xfId="0">
      <alignment horizontal="left" vertical="center" wrapText="1"/>
    </xf>
    <xf numFmtId="0" fontId="32" fillId="19" borderId="7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  <xf numFmtId="165" fontId="33" fillId="15" borderId="12" applyAlignment="1" pivotButton="0" quotePrefix="0" xfId="0">
      <alignment horizontal="right" vertical="center"/>
    </xf>
    <xf numFmtId="0" fontId="35" fillId="14" borderId="7" applyAlignment="1" pivotButton="0" quotePrefix="0" xfId="0">
      <alignment horizontal="center" vertical="center" wrapText="1"/>
    </xf>
    <xf numFmtId="167" fontId="32" fillId="14" borderId="7" applyAlignment="1" pivotButton="0" quotePrefix="0" xfId="0">
      <alignment horizontal="center" vertical="center" wrapText="1"/>
    </xf>
    <xf numFmtId="0" fontId="35" fillId="16" borderId="7" applyAlignment="1" pivotButton="0" quotePrefix="0" xfId="0">
      <alignment horizontal="center" vertical="center" wrapText="1"/>
    </xf>
    <xf numFmtId="167" fontId="32" fillId="16" borderId="7" applyAlignment="1" pivotButton="0" quotePrefix="0" xfId="0">
      <alignment horizontal="center" vertical="center" wrapText="1"/>
    </xf>
    <xf numFmtId="0" fontId="37" fillId="14" borderId="7" applyAlignment="1" pivotButton="0" quotePrefix="0" xfId="0">
      <alignment horizontal="center" vertical="center" wrapText="1"/>
    </xf>
    <xf numFmtId="0" fontId="37" fillId="16" borderId="7" applyAlignment="1" pivotButton="0" quotePrefix="0" xfId="0">
      <alignment horizontal="center" vertical="center" wrapText="1"/>
    </xf>
    <xf numFmtId="0" fontId="37" fillId="19" borderId="7" applyAlignment="1" pivotButton="0" quotePrefix="0" xfId="0">
      <alignment horizontal="center" vertical="center" wrapText="1"/>
    </xf>
    <xf numFmtId="0" fontId="40" fillId="0" borderId="7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21" borderId="7" applyAlignment="1" pivotButton="0" quotePrefix="0" xfId="0">
      <alignment horizontal="center" vertical="center"/>
    </xf>
    <xf numFmtId="0" fontId="40" fillId="22" borderId="7" applyAlignment="1" pivotButton="0" quotePrefix="0" xfId="0">
      <alignment horizontal="center" vertical="center"/>
    </xf>
    <xf numFmtId="0" fontId="41" fillId="21" borderId="0" applyAlignment="1" pivotButton="0" quotePrefix="0" xfId="0">
      <alignment horizontal="center" vertical="center"/>
    </xf>
    <xf numFmtId="0" fontId="42" fillId="23" borderId="7" applyAlignment="1" pivotButton="0" quotePrefix="0" xfId="0">
      <alignment horizontal="center" vertical="center"/>
    </xf>
    <xf numFmtId="0" fontId="40" fillId="23" borderId="7" applyAlignment="1" pivotButton="0" quotePrefix="0" xfId="0">
      <alignment horizontal="center" vertical="center"/>
    </xf>
    <xf numFmtId="0" fontId="39" fillId="24" borderId="7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44" fillId="24" borderId="7" applyAlignment="1" pivotButton="0" quotePrefix="0" xfId="0">
      <alignment horizontal="center" vertical="center"/>
    </xf>
    <xf numFmtId="0" fontId="42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40" fillId="0" borderId="7" applyAlignment="1" pivotButton="0" quotePrefix="0" xfId="0">
      <alignment horizontal="left" vertical="center"/>
    </xf>
    <xf numFmtId="0" fontId="40" fillId="25" borderId="7" applyAlignment="1" pivotButton="0" quotePrefix="0" xfId="0">
      <alignment horizontal="center" vertical="center"/>
    </xf>
    <xf numFmtId="0" fontId="40" fillId="26" borderId="7" applyAlignment="1" pivotButton="0" quotePrefix="0" xfId="0">
      <alignment horizontal="center" vertical="center"/>
    </xf>
    <xf numFmtId="0" fontId="40" fillId="0" borderId="0" applyAlignment="1" pivotButton="0" quotePrefix="0" xfId="0">
      <alignment horizontal="left" vertical="center"/>
    </xf>
    <xf numFmtId="0" fontId="42" fillId="25" borderId="0" applyAlignment="1" pivotButton="0" quotePrefix="0" xfId="0">
      <alignment horizontal="left" vertical="center"/>
    </xf>
    <xf numFmtId="0" fontId="42" fillId="22" borderId="7" applyAlignment="1" pivotButton="0" quotePrefix="0" xfId="0">
      <alignment horizontal="center" vertical="center"/>
    </xf>
    <xf numFmtId="0" fontId="42" fillId="26" borderId="7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/>
    </xf>
    <xf numFmtId="0" fontId="45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1F4E7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375623"/>
      <rgbColor rgb="FF1F2937"/>
      <rgbColor rgb="FF833C00"/>
      <rgbColor rgb="FF993366"/>
      <rgbColor rgb="FF2E539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16" customWidth="1" style="68" min="1" max="1"/>
    <col width="13" customWidth="1" style="68" min="2" max="2"/>
    <col width="9" customWidth="1" style="68" min="3" max="3"/>
    <col width="11" customWidth="1" style="68" min="4" max="4"/>
    <col width="14" customWidth="1" style="68" min="5" max="6"/>
    <col width="12" customWidth="1" style="68" min="7" max="8"/>
    <col width="16" customWidth="1" style="68" min="9" max="10"/>
  </cols>
  <sheetData>
    <row r="1" ht="31.5" customHeight="1" s="69">
      <c r="A1" s="70" t="inlineStr">
        <is>
          <t>电影票房分析总览表</t>
        </is>
      </c>
    </row>
    <row r="2" ht="19.5" customHeight="1" s="69">
      <c r="A2" s="71" t="inlineStr">
        <is>
          <t>数据范围：映前想看 · 预售票房 · 累计票房 | 制作日期：2026-08-06</t>
        </is>
      </c>
    </row>
    <row r="3" ht="30" customHeight="1" s="69">
      <c r="A3" s="72" t="inlineStr">
        <is>
          <t>电影名称</t>
        </is>
      </c>
      <c r="B3" s="72" t="inlineStr">
        <is>
          <t>上映日期</t>
        </is>
      </c>
      <c r="C3" s="72" t="inlineStr">
        <is>
          <t>状态</t>
        </is>
      </c>
      <c r="D3" s="72" t="inlineStr">
        <is>
          <t>类型</t>
        </is>
      </c>
      <c r="E3" s="72" t="inlineStr">
        <is>
          <t>主演</t>
        </is>
      </c>
      <c r="F3" s="72" t="inlineStr">
        <is>
          <t>映前想看合计</t>
        </is>
      </c>
      <c r="G3" s="72" t="inlineStr">
        <is>
          <t>日均想看</t>
        </is>
      </c>
      <c r="H3" s="72" t="inlineStr">
        <is>
          <t>想看峰值</t>
        </is>
      </c>
      <c r="I3" s="72" t="inlineStr">
        <is>
          <t>预售总票房</t>
        </is>
      </c>
      <c r="J3" s="72" t="inlineStr">
        <is>
          <t>累计总票房</t>
        </is>
      </c>
    </row>
    <row r="4" ht="24" customHeight="1" s="69">
      <c r="A4" s="73" t="inlineStr">
        <is>
          <t>抓娃娃</t>
        </is>
      </c>
      <c r="B4" s="74" t="inlineStr">
        <is>
          <t>2024-07-16</t>
        </is>
      </c>
      <c r="C4" s="75" t="inlineStr">
        <is>
          <t>已上映</t>
        </is>
      </c>
      <c r="D4" s="75" t="inlineStr">
        <is>
          <t>喜剧/家庭</t>
        </is>
      </c>
      <c r="E4" s="75" t="inlineStr">
        <is>
          <t>沈腾、马丽</t>
        </is>
      </c>
      <c r="F4" s="76">
        <f>想看数据明细!B13</f>
        <v/>
      </c>
      <c r="G4" s="76">
        <f>想看数据明细!B14</f>
        <v/>
      </c>
      <c r="H4" s="76">
        <f>想看数据明细!B15</f>
        <v/>
      </c>
      <c r="I4" s="77">
        <f>预售数据明细!C14 * 10000</f>
        <v/>
      </c>
      <c r="J4" s="78" t="n">
        <v>3300000000</v>
      </c>
    </row>
    <row r="5" ht="24" customHeight="1" s="69">
      <c r="A5" s="79" t="inlineStr">
        <is>
          <t>独行月球</t>
        </is>
      </c>
      <c r="B5" s="80" t="inlineStr">
        <is>
          <t>2022-07-29</t>
        </is>
      </c>
      <c r="C5" s="81" t="inlineStr">
        <is>
          <t>已上映</t>
        </is>
      </c>
      <c r="D5" s="81" t="inlineStr">
        <is>
          <t>科幻/喜剧</t>
        </is>
      </c>
      <c r="E5" s="81" t="inlineStr">
        <is>
          <t>沈腾、马丽</t>
        </is>
      </c>
      <c r="F5" s="82">
        <f>想看数据明细!C16</f>
        <v/>
      </c>
      <c r="G5" s="82">
        <f>想看数据明细!C17</f>
        <v/>
      </c>
      <c r="H5" s="82">
        <f>想看数据明细!C18</f>
        <v/>
      </c>
      <c r="I5" s="83">
        <f>预售数据明细!E14 * 10000</f>
        <v/>
      </c>
      <c r="J5" s="78" t="n">
        <v>3103000000</v>
      </c>
    </row>
    <row r="6" ht="24" customHeight="1" s="69">
      <c r="A6" s="73" t="inlineStr">
        <is>
          <t>欢迎来龙餐馆</t>
        </is>
      </c>
      <c r="B6" s="74" t="inlineStr">
        <is>
          <t>2026-08-11</t>
        </is>
      </c>
      <c r="C6" s="84" t="inlineStr">
        <is>
          <t>待上映</t>
        </is>
      </c>
      <c r="D6" s="75" t="inlineStr">
        <is>
          <t>战争/剧情</t>
        </is>
      </c>
      <c r="E6" s="75" t="inlineStr">
        <is>
          <t>沈腾、李治廷</t>
        </is>
      </c>
      <c r="F6" s="76">
        <f>想看数据明细!D19</f>
        <v/>
      </c>
      <c r="G6" s="76">
        <f>想看数据明细!D20</f>
        <v/>
      </c>
      <c r="H6" s="76">
        <f>想看数据明细!D21</f>
        <v/>
      </c>
      <c r="I6" s="85" t="n">
        <v>4718000</v>
      </c>
      <c r="J6" s="86" t="inlineStr">
        <is>
          <t>待上映</t>
        </is>
      </c>
    </row>
    <row r="8" ht="18" customHeight="1" s="69">
      <c r="A8" s="87" t="inlineStr">
        <is>
          <t>数据来源：猫眼专业版；想看数据由用户提供。预售/票房金额为关键节点公开数据。</t>
        </is>
      </c>
    </row>
  </sheetData>
  <mergeCells count="3">
    <mergeCell ref="A1:J1"/>
    <mergeCell ref="A8:J8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18" customWidth="1" style="68" min="1" max="1"/>
    <col width="16" customWidth="1" style="68" min="2" max="2"/>
    <col width="18" customWidth="1" style="68" min="3" max="3"/>
    <col width="16" customWidth="1" style="68" min="4" max="4"/>
    <col width="28" customWidth="1" style="68" min="5" max="5"/>
    <col width="12" customWidth="1" style="68" min="6" max="6"/>
  </cols>
  <sheetData>
    <row r="1" ht="31.5" customHeight="1" s="69">
      <c r="A1" s="70" t="inlineStr">
        <is>
          <t>《欢迎来龙餐馆》票房与预售预估分析</t>
        </is>
      </c>
    </row>
    <row r="2" ht="19.5" customHeight="1" s="69">
      <c r="A2" s="71" t="inlineStr">
        <is>
          <t>预估日期：2026-08-06 | 影片8月11日上映，8月8-10日超前点映</t>
        </is>
      </c>
    </row>
    <row r="3" ht="24" customHeight="1" s="69">
      <c r="A3" s="88" t="inlineStr">
        <is>
          <t>一、参照影片票房数据对比</t>
        </is>
      </c>
    </row>
    <row r="4" ht="21.75" customHeight="1" s="69">
      <c r="A4" s="89" t="inlineStr">
        <is>
          <t>参照维度</t>
        </is>
      </c>
      <c r="B4" s="72" t="inlineStr">
        <is>
          <t>我不是药神</t>
        </is>
      </c>
      <c r="C4" s="72" t="inlineStr">
        <is>
          <t>奇迹·笨小孩</t>
        </is>
      </c>
      <c r="D4" s="72" t="inlineStr">
        <is>
          <t>抓娃娃</t>
        </is>
      </c>
      <c r="E4" s="72" t="inlineStr">
        <is>
          <t>独行月球</t>
        </is>
      </c>
      <c r="F4" s="72" t="inlineStr">
        <is>
          <t>飞驰人生3</t>
        </is>
      </c>
    </row>
    <row r="5" ht="21.75" customHeight="1" s="69">
      <c r="A5" s="90" t="inlineStr">
        <is>
          <t>上映年份</t>
        </is>
      </c>
      <c r="B5" s="74" t="inlineStr">
        <is>
          <t>2018</t>
        </is>
      </c>
      <c r="C5" s="74" t="inlineStr">
        <is>
          <t>2022</t>
        </is>
      </c>
      <c r="D5" s="74" t="inlineStr">
        <is>
          <t>2024</t>
        </is>
      </c>
      <c r="E5" s="74" t="inlineStr">
        <is>
          <t>2022</t>
        </is>
      </c>
      <c r="F5" s="74" t="inlineStr">
        <is>
          <t>2026</t>
        </is>
      </c>
    </row>
    <row r="6" ht="21.75" customHeight="1" s="69">
      <c r="A6" s="91" t="inlineStr">
        <is>
          <t>导演</t>
        </is>
      </c>
      <c r="B6" s="81" t="inlineStr">
        <is>
          <t>文牧野</t>
        </is>
      </c>
      <c r="C6" s="81" t="inlineStr">
        <is>
          <t>文牧野</t>
        </is>
      </c>
      <c r="D6" s="81" t="inlineStr">
        <is>
          <t>闫非/彭大魔</t>
        </is>
      </c>
      <c r="E6" s="81" t="inlineStr">
        <is>
          <t>张吃鱼</t>
        </is>
      </c>
      <c r="F6" s="81" t="inlineStr">
        <is>
          <t>韩寒</t>
        </is>
      </c>
    </row>
    <row r="7" ht="21.75" customHeight="1" s="69">
      <c r="A7" s="90" t="inlineStr">
        <is>
          <t>主演</t>
        </is>
      </c>
      <c r="B7" s="75" t="inlineStr">
        <is>
          <t>徐峥</t>
        </is>
      </c>
      <c r="C7" s="75" t="inlineStr">
        <is>
          <t>易烊千玺</t>
        </is>
      </c>
      <c r="D7" s="75" t="inlineStr">
        <is>
          <t>沈腾/马丽</t>
        </is>
      </c>
      <c r="E7" s="75" t="inlineStr">
        <is>
          <t>沈腾/马丽</t>
        </is>
      </c>
      <c r="F7" s="75" t="inlineStr">
        <is>
          <t>沈腾</t>
        </is>
      </c>
    </row>
    <row r="8" ht="21.75" customHeight="1" s="69">
      <c r="A8" s="91" t="inlineStr">
        <is>
          <t>类型</t>
        </is>
      </c>
      <c r="B8" s="81" t="inlineStr">
        <is>
          <t>现实/剧情</t>
        </is>
      </c>
      <c r="C8" s="81" t="inlineStr">
        <is>
          <t>现实/剧情</t>
        </is>
      </c>
      <c r="D8" s="81" t="inlineStr">
        <is>
          <t>喜剧/家庭</t>
        </is>
      </c>
      <c r="E8" s="81" t="inlineStr">
        <is>
          <t>科幻/喜剧</t>
        </is>
      </c>
      <c r="F8" s="81" t="inlineStr">
        <is>
          <t>喜剧/运动</t>
        </is>
      </c>
    </row>
    <row r="9" ht="21.75" customHeight="1" s="69">
      <c r="A9" s="90" t="inlineStr">
        <is>
          <t>首日票房(亿)</t>
        </is>
      </c>
      <c r="B9" s="92" t="n">
        <v>1.6</v>
      </c>
      <c r="C9" s="92" t="n">
        <v>1.82</v>
      </c>
      <c r="D9" s="92" t="n">
        <v>6.5</v>
      </c>
      <c r="E9" s="92" t="n">
        <v>2</v>
      </c>
      <c r="F9" s="75" t="inlineStr">
        <is>
          <t>春节档</t>
        </is>
      </c>
    </row>
    <row r="10" ht="21.75" customHeight="1" s="69">
      <c r="A10" s="91" t="inlineStr">
        <is>
          <t>首周票房(亿)</t>
        </is>
      </c>
      <c r="B10" s="80" t="inlineStr">
        <is>
          <t>—</t>
        </is>
      </c>
      <c r="C10" s="93" t="n">
        <v>6.68</v>
      </c>
      <c r="D10" s="93" t="n">
        <v>11</v>
      </c>
      <c r="E10" s="93" t="n">
        <v>10</v>
      </c>
      <c r="F10" s="93" t="n">
        <v>29.27</v>
      </c>
    </row>
    <row r="11" ht="21.75" customHeight="1" s="69">
      <c r="A11" s="90" t="inlineStr">
        <is>
          <t>累计总票房(亿)</t>
        </is>
      </c>
      <c r="B11" s="92" t="n">
        <v>31</v>
      </c>
      <c r="C11" s="92" t="n">
        <v>13.79</v>
      </c>
      <c r="D11" s="92" t="n">
        <v>33</v>
      </c>
      <c r="E11" s="92" t="n">
        <v>31.03</v>
      </c>
      <c r="F11" s="92" t="n">
        <v>38</v>
      </c>
    </row>
    <row r="12" ht="21.75" customHeight="1" s="69">
      <c r="A12" s="91" t="inlineStr">
        <is>
          <t>豆瓣评分</t>
        </is>
      </c>
      <c r="B12" s="93" t="n">
        <v>9</v>
      </c>
      <c r="C12" s="93" t="n">
        <v>7.4</v>
      </c>
      <c r="D12" s="93" t="n">
        <v>7.3</v>
      </c>
      <c r="E12" s="93" t="n">
        <v>6.9</v>
      </c>
      <c r="F12" s="80" t="inlineStr">
        <is>
          <t>—</t>
        </is>
      </c>
    </row>
    <row r="14" ht="24" customHeight="1" s="69">
      <c r="A14" s="88" t="inlineStr">
        <is>
          <t>二、票房预估模型（三档情景）</t>
        </is>
      </c>
    </row>
    <row r="15" ht="25.5" customHeight="1" s="69">
      <c r="A15" s="72" t="inlineStr">
        <is>
          <t>预估指标</t>
        </is>
      </c>
      <c r="B15" s="72" t="inlineStr">
        <is>
          <t>保守预估</t>
        </is>
      </c>
      <c r="C15" s="72" t="inlineStr">
        <is>
          <t>中性预估（基准）</t>
        </is>
      </c>
      <c r="D15" s="72" t="inlineStr">
        <is>
          <t>乐观预估</t>
        </is>
      </c>
      <c r="E15" s="72" t="inlineStr">
        <is>
          <t>预估依据</t>
        </is>
      </c>
      <c r="F15" s="72" t="n"/>
    </row>
    <row r="16" ht="36" customHeight="1" s="69">
      <c r="A16" s="90" t="inlineStr">
        <is>
          <t>预售票房(含点映)</t>
        </is>
      </c>
      <c r="B16" s="94" t="inlineStr">
        <is>
          <t>5000万-8000万</t>
        </is>
      </c>
      <c r="C16" s="95" t="inlineStr">
        <is>
          <t>8000万-1.2亿</t>
        </is>
      </c>
      <c r="D16" s="96" t="inlineStr">
        <is>
          <t>1.2亿-1.8亿</t>
        </is>
      </c>
      <c r="E16" s="97" t="inlineStr">
        <is>
          <t>极限定档仅6天预售期；参照抓娃娃映前10天预售1713.8万、独行月球5034.9万；沈腾+文牧野组合有溢价</t>
        </is>
      </c>
      <c r="F16" s="98" t="n"/>
    </row>
    <row r="17" ht="36" customHeight="1" s="69">
      <c r="A17" s="91" t="inlineStr">
        <is>
          <t>首日票房(含点映)</t>
        </is>
      </c>
      <c r="B17" s="94" t="inlineStr">
        <is>
          <t>1.5亿-2.5亿</t>
        </is>
      </c>
      <c r="C17" s="95" t="inlineStr">
        <is>
          <t>2.5亿-3.5亿</t>
        </is>
      </c>
      <c r="D17" s="96" t="inlineStr">
        <is>
          <t>3.5亿-5亿</t>
        </is>
      </c>
      <c r="E17" s="99" t="inlineStr">
        <is>
          <t>3天点映蓄势+周二上映；参照药神1.6亿、奇迹1.82亿、独行月球2亿；沈腾单片首日有溢价</t>
        </is>
      </c>
      <c r="F17" s="98" t="n"/>
    </row>
    <row r="18" ht="36" customHeight="1" s="69">
      <c r="A18" s="90" t="inlineStr">
        <is>
          <t>首周票房</t>
        </is>
      </c>
      <c r="B18" s="94" t="inlineStr">
        <is>
          <t>6亿-9亿</t>
        </is>
      </c>
      <c r="C18" s="95" t="inlineStr">
        <is>
          <t>9亿-13亿</t>
        </is>
      </c>
      <c r="D18" s="96" t="inlineStr">
        <is>
          <t>13亿-18亿</t>
        </is>
      </c>
      <c r="E18" s="97" t="inlineStr">
        <is>
          <t>参照抓娃娃4天11亿、独行月球3天10亿、奇迹首周6.68亿</t>
        </is>
      </c>
      <c r="F18" s="98" t="n"/>
    </row>
    <row r="19" ht="36" customHeight="1" s="69">
      <c r="A19" s="91" t="inlineStr">
        <is>
          <t>累计总票房</t>
        </is>
      </c>
      <c r="B19" s="94" t="inlineStr">
        <is>
          <t>22亿-28亿</t>
        </is>
      </c>
      <c r="C19" s="95" t="inlineStr">
        <is>
          <t>30亿-35亿</t>
        </is>
      </c>
      <c r="D19" s="96" t="inlineStr">
        <is>
          <t>38亿-45亿</t>
        </is>
      </c>
      <c r="E19" s="100" t="inlineStr">
        <is>
          <t>业内分歧大：看空25亿以下、保守30-35亿、乐观40-50亿</t>
        </is>
      </c>
      <c r="F19" s="98" t="n"/>
    </row>
    <row r="21" ht="24" customHeight="1" s="69">
      <c r="A21" s="88" t="inlineStr">
        <is>
          <t>三、核心预估结论</t>
        </is>
      </c>
    </row>
    <row r="22" ht="25.5" customHeight="1" s="69">
      <c r="A22" s="72" t="inlineStr">
        <is>
          <t>指标</t>
        </is>
      </c>
      <c r="B22" s="72" t="inlineStr">
        <is>
          <t>预估中值</t>
        </is>
      </c>
      <c r="C22" s="72" t="inlineStr">
        <is>
          <t>区间</t>
        </is>
      </c>
      <c r="D22" s="72" t="inlineStr">
        <is>
          <t>置信度</t>
        </is>
      </c>
      <c r="E22" s="89" t="inlineStr">
        <is>
          <t>关键驱动因素</t>
        </is>
      </c>
      <c r="F22" s="89" t="inlineStr">
        <is>
          <t>主要风险</t>
        </is>
      </c>
    </row>
    <row r="23" ht="30" customHeight="1" s="69">
      <c r="A23" s="73" t="inlineStr">
        <is>
          <t>预售票房</t>
        </is>
      </c>
      <c r="B23" s="101" t="inlineStr">
        <is>
          <t>1亿</t>
        </is>
      </c>
      <c r="C23" s="74" t="inlineStr">
        <is>
          <t>0.5-1.8亿</t>
        </is>
      </c>
      <c r="D23" s="75" t="inlineStr">
        <is>
          <t>中</t>
        </is>
      </c>
      <c r="E23" s="97" t="inlineStr">
        <is>
          <t>沈腾号召力+文牧野口碑+3天点映</t>
        </is>
      </c>
      <c r="F23" s="97" t="inlineStr">
        <is>
          <t>极限定档预售期短</t>
        </is>
      </c>
    </row>
    <row r="24" ht="30" customHeight="1" s="69">
      <c r="A24" s="79" t="inlineStr">
        <is>
          <t>首日票房</t>
        </is>
      </c>
      <c r="B24" s="101" t="inlineStr">
        <is>
          <t>3亿</t>
        </is>
      </c>
      <c r="C24" s="80" t="inlineStr">
        <is>
          <t>1.5-5亿</t>
        </is>
      </c>
      <c r="D24" s="81" t="inlineStr">
        <is>
          <t>中</t>
        </is>
      </c>
      <c r="E24" s="100" t="inlineStr">
        <is>
          <t>点映口碑发酵+排片保障</t>
        </is>
      </c>
      <c r="F24" s="100" t="inlineStr">
        <is>
          <t>周二非传统上映日</t>
        </is>
      </c>
    </row>
    <row r="25" ht="30" customHeight="1" s="69">
      <c r="A25" s="73" t="inlineStr">
        <is>
          <t>累计总票房</t>
        </is>
      </c>
      <c r="B25" s="101" t="inlineStr">
        <is>
          <t>32亿</t>
        </is>
      </c>
      <c r="C25" s="74" t="inlineStr">
        <is>
          <t>22-45亿</t>
        </is>
      </c>
      <c r="D25" s="75" t="inlineStr">
        <is>
          <t>中低</t>
        </is>
      </c>
      <c r="E25" s="97" t="inlineStr">
        <is>
          <t>主创组合+暑期压轴+长尾窗口</t>
        </is>
      </c>
      <c r="F25" s="97" t="inlineStr">
        <is>
          <t>战争题材受众受限+暑期档偏弱</t>
        </is>
      </c>
    </row>
    <row r="26" ht="24" customHeight="1" s="69">
      <c r="A26" s="88" t="inlineStr">
        <is>
          <t>四、预估逻辑与权重分析</t>
        </is>
      </c>
    </row>
    <row r="27" ht="24" customHeight="1" s="69">
      <c r="A27" s="102" t="inlineStr">
        <is>
          <t>利好因素</t>
        </is>
      </c>
      <c r="B27" s="102" t="inlineStr">
        <is>
          <t>权重</t>
        </is>
      </c>
      <c r="C27" s="103" t="n"/>
      <c r="D27" s="103" t="n"/>
      <c r="E27" s="103" t="n"/>
      <c r="F27" s="98" t="n"/>
    </row>
    <row r="28" ht="30" customHeight="1" s="69">
      <c r="A28" s="73" t="inlineStr">
        <is>
          <t>沈腾票房号召力</t>
        </is>
      </c>
      <c r="B28" s="104" t="inlineStr">
        <is>
          <t>★★★★★</t>
        </is>
      </c>
      <c r="C28" s="97" t="inlineStr">
        <is>
          <t>主演累计票房破400亿，近作均30亿+；《飞驰人生3》38亿春节档冠军</t>
        </is>
      </c>
      <c r="D28" s="103" t="n"/>
      <c r="E28" s="103" t="n"/>
      <c r="F28" s="98" t="n"/>
    </row>
    <row r="29" ht="30" customHeight="1" s="69">
      <c r="A29" s="105" t="inlineStr">
        <is>
          <t>文牧野导演品牌</t>
        </is>
      </c>
      <c r="B29" s="106" t="inlineStr">
        <is>
          <t>★★★★☆</t>
        </is>
      </c>
      <c r="C29" s="107" t="inlineStr">
        <is>
          <t>《药神》31亿+豆瓣9.0；《奇迹》13.79亿；现实主义爆款保证</t>
        </is>
      </c>
      <c r="D29" s="103" t="n"/>
      <c r="E29" s="103" t="n"/>
      <c r="F29" s="98" t="n"/>
    </row>
    <row r="30" ht="30" customHeight="1" s="69">
      <c r="A30" s="105" t="inlineStr">
        <is>
          <t>暑期档压轴定位</t>
        </is>
      </c>
      <c r="B30" s="106" t="inlineStr">
        <is>
          <t>★★★★☆</t>
        </is>
      </c>
      <c r="C30" s="108" t="inlineStr">
        <is>
          <t>8月11日上映吃满暑期尾+中秋国庆预热长尾；竞品蜘蛛侠窗口仅2-3周</t>
        </is>
      </c>
      <c r="D30" s="103" t="n"/>
      <c r="E30" s="103" t="n"/>
      <c r="F30" s="98" t="n"/>
    </row>
    <row r="31" ht="30" customHeight="1" s="69">
      <c r="A31" s="109" t="inlineStr">
        <is>
          <t>3天超前点映</t>
        </is>
      </c>
      <c r="B31" s="106" t="inlineStr">
        <is>
          <t>★★★☆☆</t>
        </is>
      </c>
      <c r="C31" s="108" t="inlineStr">
        <is>
          <t>8月8-10日全国点映，口碑提前发酵，参照抓娃娃点映策略</t>
        </is>
      </c>
      <c r="D31" s="103" t="n"/>
      <c r="E31" s="103" t="n"/>
      <c r="F31" s="98" t="n"/>
    </row>
    <row r="32" ht="30" customHeight="1" s="69">
      <c r="A32" s="105" t="inlineStr">
        <is>
          <t>塔斯汀万店联名</t>
        </is>
      </c>
      <c r="B32" s="106" t="inlineStr">
        <is>
          <t>★★★☆☆</t>
        </is>
      </c>
      <c r="C32" s="107" t="inlineStr">
        <is>
          <t>万店规模联名营销，产业链提前锁定上映窗口</t>
        </is>
      </c>
      <c r="D32" s="103" t="n"/>
      <c r="E32" s="103" t="n"/>
      <c r="F32" s="98" t="n"/>
    </row>
    <row r="33" ht="24" customHeight="1" s="69">
      <c r="A33" s="110" t="n"/>
      <c r="B33" s="110" t="n"/>
      <c r="C33" s="103" t="n"/>
      <c r="D33" s="103" t="n"/>
      <c r="E33" s="103" t="n"/>
      <c r="F33" s="98" t="n"/>
    </row>
    <row r="34" ht="24" customHeight="1" s="69">
      <c r="A34" s="111" t="inlineStr">
        <is>
          <t>风险因素</t>
        </is>
      </c>
      <c r="B34" s="111" t="inlineStr">
        <is>
          <t>权重</t>
        </is>
      </c>
      <c r="C34" s="103" t="n"/>
      <c r="D34" s="103" t="n"/>
      <c r="E34" s="103" t="n"/>
      <c r="F34" s="98" t="n"/>
    </row>
    <row r="35" ht="30" customHeight="1" s="69">
      <c r="A35" s="79" t="inlineStr">
        <is>
          <t>极限定档宣发短</t>
        </is>
      </c>
      <c r="B35" s="112" t="inlineStr">
        <is>
          <t>★★★★☆</t>
        </is>
      </c>
      <c r="C35" s="99" t="inlineStr">
        <is>
          <t>8月5日官宣8月11日上映，仅6天；想看积累不足（映前6天仅24881）</t>
        </is>
      </c>
      <c r="D35" s="103" t="n"/>
      <c r="E35" s="103" t="n"/>
      <c r="F35" s="98" t="n"/>
    </row>
    <row r="36" ht="30" customHeight="1" s="69">
      <c r="A36" s="79" t="inlineStr">
        <is>
          <t>战争/剧情题材</t>
        </is>
      </c>
      <c r="B36" s="112" t="inlineStr">
        <is>
          <t>★★★★☆</t>
        </is>
      </c>
      <c r="C36" s="100" t="inlineStr">
        <is>
          <t>非纯喜剧，受众面窄于抓娃娃/独行月球；中东战争背景有观影门槛</t>
        </is>
      </c>
      <c r="D36" s="103" t="n"/>
      <c r="E36" s="103" t="n"/>
      <c r="F36" s="98" t="n"/>
    </row>
    <row r="37" ht="30" customHeight="1" s="69">
      <c r="A37" s="79" t="inlineStr">
        <is>
          <t>暑期档整体偏弱</t>
        </is>
      </c>
      <c r="B37" s="112" t="inlineStr">
        <is>
          <t>★★★☆☆</t>
        </is>
      </c>
      <c r="C37" s="100" t="inlineStr">
        <is>
          <t>截至8月3日75亿，无30亿+影片；去年暑期冠军仅28.9亿</t>
        </is>
      </c>
      <c r="D37" s="103" t="n"/>
      <c r="E37" s="103" t="n"/>
      <c r="F37" s="98" t="n"/>
    </row>
    <row r="38" ht="30" customHeight="1" s="69">
      <c r="A38" s="79" t="inlineStr">
        <is>
          <t>周二非传统上映</t>
        </is>
      </c>
      <c r="B38" s="112" t="inlineStr">
        <is>
          <t>★★☆☆☆</t>
        </is>
      </c>
      <c r="C38" s="100" t="inlineStr">
        <is>
          <t>工作日上映首日爆发力受限，依赖点映+周末走势</t>
        </is>
      </c>
      <c r="D38" s="103" t="n"/>
      <c r="E38" s="103" t="n"/>
      <c r="F38" s="98" t="n"/>
    </row>
    <row r="39" ht="30" customHeight="1" s="69">
      <c r="A39" s="79" t="inlineStr">
        <is>
          <t>蜘蛛侠竞争</t>
        </is>
      </c>
      <c r="B39" s="112" t="inlineStr">
        <is>
          <t>★★☆☆☆</t>
        </is>
      </c>
      <c r="C39" s="100" t="inlineStr">
        <is>
          <t>蜘蛛侠内地预测16亿，窗口重叠2-3周；但类型受众差异大</t>
        </is>
      </c>
      <c r="D39" s="103" t="n"/>
      <c r="E39" s="103" t="n"/>
      <c r="F39" s="98" t="n"/>
    </row>
    <row r="41" ht="18" customHeight="1" s="69">
      <c r="A41" s="87" t="inlineStr">
        <is>
          <t>注：以上预估基于截至2026-08-06的公开信息，采用参照影片对比+情景分析法。实际票房将受点映口碑、排片竞争、市场环境等动态因素影响，存在较大不确定性。</t>
        </is>
      </c>
    </row>
    <row r="42" ht="18" customHeight="1" s="69">
      <c r="A42" s="87" t="inlineStr">
        <is>
          <t>数据来源：猫眼专业版。</t>
        </is>
      </c>
    </row>
  </sheetData>
  <mergeCells count="25">
    <mergeCell ref="A41:F41"/>
    <mergeCell ref="C39:F39"/>
    <mergeCell ref="C38:F38"/>
    <mergeCell ref="C32:F32"/>
    <mergeCell ref="A3:F3"/>
    <mergeCell ref="A26:F26"/>
    <mergeCell ref="E17:F17"/>
    <mergeCell ref="C37:F37"/>
    <mergeCell ref="A21:F21"/>
    <mergeCell ref="B27:F27"/>
    <mergeCell ref="C28:F28"/>
    <mergeCell ref="A2:F2"/>
    <mergeCell ref="A42:F42"/>
    <mergeCell ref="A14:F14"/>
    <mergeCell ref="E19:F19"/>
    <mergeCell ref="C30:F30"/>
    <mergeCell ref="B34:F34"/>
    <mergeCell ref="C35:F35"/>
    <mergeCell ref="C29:F29"/>
    <mergeCell ref="C31:F31"/>
    <mergeCell ref="E16:F16"/>
    <mergeCell ref="B33:F33"/>
    <mergeCell ref="A1:F1"/>
    <mergeCell ref="E18:F18"/>
    <mergeCell ref="C36:F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4" customWidth="1" style="68" min="1" max="2"/>
    <col width="18" customWidth="1" style="68" min="3" max="3"/>
    <col width="14" customWidth="1" style="68" min="4" max="4"/>
    <col width="18" customWidth="1" style="68" min="5" max="5"/>
  </cols>
  <sheetData>
    <row r="1" ht="31.5" customHeight="1" s="69">
      <c r="A1" s="113" t="inlineStr">
        <is>
          <t>映前预售数据逐日明细（当日新增）</t>
        </is>
      </c>
    </row>
    <row r="2" ht="19.5" customHeight="1" s="69">
      <c r="A2" s="114" t="inlineStr">
        <is>
          <t>数据来源：猫眼专业版 | 抓娃娃上映2024-07-16 · 独行月球上映2022-07-29</t>
        </is>
      </c>
    </row>
    <row r="3" ht="30" customHeight="1" s="69">
      <c r="A3" s="115" t="inlineStr">
        <is>
          <t>映前天数</t>
        </is>
      </c>
      <c r="B3" s="115" t="inlineStr">
        <is>
          <t>抓娃娃日期</t>
        </is>
      </c>
      <c r="C3" s="115" t="inlineStr">
        <is>
          <t>抓娃娃当日新增(万)</t>
        </is>
      </c>
      <c r="D3" s="115" t="inlineStr">
        <is>
          <t>独行月球日期</t>
        </is>
      </c>
      <c r="E3" s="115" t="inlineStr">
        <is>
          <t>独行月球当日新增(万)</t>
        </is>
      </c>
    </row>
    <row r="4" ht="21.75" customHeight="1" s="69">
      <c r="A4" s="116" t="inlineStr">
        <is>
          <t>映前1天</t>
        </is>
      </c>
      <c r="B4" s="117" t="inlineStr">
        <is>
          <t>2024-07-15</t>
        </is>
      </c>
      <c r="C4" s="118" t="n">
        <v>1382.6</v>
      </c>
      <c r="D4" s="117" t="inlineStr">
        <is>
          <t>2022-07-28</t>
        </is>
      </c>
      <c r="E4" s="118" t="n">
        <v>2735</v>
      </c>
    </row>
    <row r="5" ht="21.75" customHeight="1" s="69">
      <c r="A5" s="119" t="inlineStr">
        <is>
          <t>映前2天</t>
        </is>
      </c>
      <c r="B5" s="80" t="inlineStr">
        <is>
          <t>2024-07-14</t>
        </is>
      </c>
      <c r="C5" s="120" t="n">
        <v>156.4</v>
      </c>
      <c r="D5" s="80" t="inlineStr">
        <is>
          <t>2022-07-27</t>
        </is>
      </c>
      <c r="E5" s="120" t="n">
        <v>896</v>
      </c>
    </row>
    <row r="6" ht="21.75" customHeight="1" s="69">
      <c r="A6" s="121" t="inlineStr">
        <is>
          <t>映前3天</t>
        </is>
      </c>
      <c r="B6" s="74" t="inlineStr">
        <is>
          <t>2024-07-13</t>
        </is>
      </c>
      <c r="C6" s="122" t="n">
        <v>34.5</v>
      </c>
      <c r="D6" s="74" t="inlineStr">
        <is>
          <t>2022-07-26</t>
        </is>
      </c>
      <c r="E6" s="122" t="n">
        <v>400.4</v>
      </c>
    </row>
    <row r="7" ht="21.75" customHeight="1" s="69">
      <c r="A7" s="119" t="inlineStr">
        <is>
          <t>映前4天</t>
        </is>
      </c>
      <c r="B7" s="80" t="inlineStr">
        <is>
          <t>2024-07-12</t>
        </is>
      </c>
      <c r="C7" s="120" t="n">
        <v>17.2</v>
      </c>
      <c r="D7" s="80" t="inlineStr">
        <is>
          <t>2022-07-25</t>
        </is>
      </c>
      <c r="E7" s="120" t="n">
        <v>272</v>
      </c>
    </row>
    <row r="8" ht="21.75" customHeight="1" s="69">
      <c r="A8" s="121" t="inlineStr">
        <is>
          <t>映前5天</t>
        </is>
      </c>
      <c r="B8" s="74" t="inlineStr">
        <is>
          <t>2024-07-11</t>
        </is>
      </c>
      <c r="C8" s="122" t="n">
        <v>9.5</v>
      </c>
      <c r="D8" s="74" t="inlineStr">
        <is>
          <t>2022-07-24</t>
        </is>
      </c>
      <c r="E8" s="122" t="n">
        <v>203.4</v>
      </c>
    </row>
    <row r="9" ht="21.75" customHeight="1" s="69">
      <c r="A9" s="119" t="inlineStr">
        <is>
          <t>映前6天</t>
        </is>
      </c>
      <c r="B9" s="80" t="inlineStr">
        <is>
          <t>2024-07-10</t>
        </is>
      </c>
      <c r="C9" s="120" t="n">
        <v>11.3</v>
      </c>
      <c r="D9" s="80" t="inlineStr">
        <is>
          <t>2022-07-23</t>
        </is>
      </c>
      <c r="E9" s="120" t="n">
        <v>181.6</v>
      </c>
    </row>
    <row r="10" ht="21.75" customHeight="1" s="69">
      <c r="A10" s="121" t="inlineStr">
        <is>
          <t>映前7天</t>
        </is>
      </c>
      <c r="B10" s="74" t="inlineStr">
        <is>
          <t>2024-07-09</t>
        </is>
      </c>
      <c r="C10" s="122" t="n">
        <v>9.800000000000001</v>
      </c>
      <c r="D10" s="74" t="inlineStr">
        <is>
          <t>2022-07-22</t>
        </is>
      </c>
      <c r="E10" s="122" t="n">
        <v>258.2</v>
      </c>
    </row>
    <row r="11" ht="21.75" customHeight="1" s="69">
      <c r="A11" s="119" t="inlineStr">
        <is>
          <t>映前8天</t>
        </is>
      </c>
      <c r="B11" s="80" t="inlineStr">
        <is>
          <t>2024-07-08</t>
        </is>
      </c>
      <c r="C11" s="120" t="n">
        <v>3.3</v>
      </c>
      <c r="D11" s="80" t="inlineStr">
        <is>
          <t>2022-07-21</t>
        </is>
      </c>
      <c r="E11" s="120" t="n">
        <v>43.6</v>
      </c>
    </row>
    <row r="12" ht="21.75" customHeight="1" s="69">
      <c r="A12" s="121" t="inlineStr">
        <is>
          <t>映前9天</t>
        </is>
      </c>
      <c r="B12" s="74" t="inlineStr">
        <is>
          <t>2024-07-07</t>
        </is>
      </c>
      <c r="C12" s="122" t="n">
        <v>13.4</v>
      </c>
      <c r="D12" s="74" t="inlineStr">
        <is>
          <t>2022-07-20</t>
        </is>
      </c>
      <c r="E12" s="122" t="n">
        <v>35.8</v>
      </c>
    </row>
    <row r="13" ht="21.75" customHeight="1" s="69">
      <c r="A13" s="119" t="inlineStr">
        <is>
          <t>映前10天</t>
        </is>
      </c>
      <c r="B13" s="80" t="inlineStr">
        <is>
          <t>2024-07-06</t>
        </is>
      </c>
      <c r="C13" s="120" t="n">
        <v>63</v>
      </c>
      <c r="D13" s="80" t="inlineStr">
        <is>
          <t>2022-07-19</t>
        </is>
      </c>
      <c r="E13" s="120" t="n">
        <v>8.9</v>
      </c>
    </row>
    <row r="14" ht="25.5" customHeight="1" s="69">
      <c r="A14" s="116" t="inlineStr">
        <is>
          <t>映前1-10天合计</t>
        </is>
      </c>
      <c r="B14" s="117" t="n"/>
      <c r="C14" s="118">
        <f>SUM(C4:C13)</f>
        <v/>
      </c>
      <c r="D14" s="117" t="n"/>
      <c r="E14" s="118">
        <f>SUM(E4:E13)</f>
        <v/>
      </c>
    </row>
    <row r="15" ht="30" customHeight="1" s="69">
      <c r="A15" s="123" t="inlineStr">
        <is>
          <t>注：以上为映前1-10天的当日新增预售数据。映前1天预售集中爆发，抓娃娃新增1382.6万、独行月球新增2735.0万。合计为10天区间总计，实际累计预售可能含更早天数。</t>
        </is>
      </c>
    </row>
  </sheetData>
  <mergeCells count="3">
    <mergeCell ref="A2:E2"/>
    <mergeCell ref="A15:E15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69" min="1" max="1"/>
    <col width="10" customWidth="1" style="69" min="2" max="2"/>
    <col width="18" customWidth="1" style="69" min="3" max="3"/>
    <col width="14" customWidth="1" style="69" min="4" max="4"/>
    <col width="16" customWidth="1" style="69" min="5" max="5"/>
    <col width="12" customWidth="1" style="69" min="6" max="6"/>
    <col width="14" customWidth="1" style="69" min="7" max="7"/>
    <col width="40" customWidth="1" style="69" min="8" max="8"/>
  </cols>
  <sheetData>
    <row r="1" ht="32" customHeight="1" s="69">
      <c r="A1" s="124" t="inlineStr">
        <is>
          <t>《欢迎来龙餐馆》点映及预售票房追踪</t>
        </is>
      </c>
    </row>
    <row r="2" ht="20" customHeight="1" s="69">
      <c r="A2" s="125" t="inlineStr">
        <is>
          <t>上映日期：2026-08-11 | 数据来源：猫眼专业版</t>
        </is>
      </c>
    </row>
    <row r="3" ht="30" customHeight="1" s="69">
      <c r="A3" s="126" t="inlineStr">
        <is>
          <t>获取时间</t>
        </is>
      </c>
      <c r="B3" s="126" t="inlineStr">
        <is>
          <t>映前天数</t>
        </is>
      </c>
      <c r="C3" s="126" t="inlineStr">
        <is>
          <t>点映及预售总票房(万)</t>
        </is>
      </c>
      <c r="D3" s="126" t="inlineStr">
        <is>
          <t>预售总票房(万)</t>
        </is>
      </c>
      <c r="E3" s="126" t="inlineStr">
        <is>
          <t>首日预售票房(万)</t>
        </is>
      </c>
      <c r="F3" s="126" t="inlineStr">
        <is>
          <t>首日排片占比</t>
        </is>
      </c>
      <c r="G3" s="126" t="inlineStr">
        <is>
          <t>首日黄金场占比</t>
        </is>
      </c>
      <c r="H3" s="126" t="inlineStr">
        <is>
          <t>备注</t>
        </is>
      </c>
    </row>
    <row r="4" ht="36" customHeight="1" s="69">
      <c r="A4" s="127" t="inlineStr">
        <is>
          <t>2026-08-06 14:45</t>
        </is>
      </c>
      <c r="B4" s="127" t="inlineStr">
        <is>
          <t>映前5天</t>
        </is>
      </c>
      <c r="C4" s="128" t="n">
        <v>180.3</v>
      </c>
      <c r="D4" s="129" t="n">
        <v>3.5</v>
      </c>
      <c r="E4" s="129" t="n">
        <v>3</v>
      </c>
      <c r="F4" s="127" t="inlineStr">
        <is>
          <t>77.1%</t>
        </is>
      </c>
      <c r="G4" s="127" t="inlineStr">
        <is>
          <t>78.6%</t>
        </is>
      </c>
      <c r="H4" s="130" t="inlineStr">
        <is>
          <t>预售刚开启；首日预售排名No.1；竞争趋势领先蜘蛛侠(1.8万)</t>
        </is>
      </c>
    </row>
    <row r="5" ht="28" customHeight="1" s="69">
      <c r="A5" s="131" t="inlineStr">
        <is>
          <t>2026-08-06 14:55</t>
        </is>
      </c>
      <c r="B5" s="131" t="inlineStr">
        <is>
          <t>映前5天</t>
        </is>
      </c>
      <c r="C5" s="128" t="n">
        <v>191.8</v>
      </c>
      <c r="D5" s="131" t="n"/>
      <c r="E5" s="131" t="n"/>
      <c r="F5" s="131" t="n"/>
      <c r="G5" s="131" t="n"/>
      <c r="H5" s="133" t="inlineStr">
        <is>
          <t>数据来源：猫眼专业版 | 点映及预售总票房191.8万</t>
        </is>
      </c>
    </row>
    <row r="6" ht="28" customHeight="1" s="69">
      <c r="A6" s="127" t="inlineStr">
        <is>
          <t>2026-08-06 15:01</t>
        </is>
      </c>
      <c r="B6" s="127" t="inlineStr">
        <is>
          <t>映前5天</t>
        </is>
      </c>
      <c r="C6" s="128" t="n">
        <v>200.2</v>
      </c>
      <c r="D6" s="127" t="n"/>
      <c r="E6" s="127" t="n"/>
      <c r="F6" s="127" t="n"/>
      <c r="G6" s="127" t="n"/>
      <c r="H6" s="130" t="inlineStr">
        <is>
          <t>数据来源：猫眼专业版 | 点映及预售总票房200.2万</t>
        </is>
      </c>
    </row>
    <row r="7" ht="28" customHeight="1" s="69">
      <c r="A7" s="131" t="inlineStr">
        <is>
          <t>2026-08-06 15:03</t>
        </is>
      </c>
      <c r="B7" s="131" t="inlineStr">
        <is>
          <t>映前5天</t>
        </is>
      </c>
      <c r="C7" s="128" t="n">
        <v>203.7</v>
      </c>
      <c r="D7" s="131" t="n"/>
      <c r="E7" s="131" t="n"/>
      <c r="F7" s="131" t="n"/>
      <c r="G7" s="131" t="n"/>
      <c r="H7" s="133" t="inlineStr">
        <is>
          <t>数据来源：猫眼专业版 | 点映及预售总票房203.7万</t>
        </is>
      </c>
    </row>
    <row r="8" ht="28" customHeight="1" s="69">
      <c r="A8" s="127" t="inlineStr">
        <is>
          <t>2026-08-06 16:53</t>
        </is>
      </c>
      <c r="B8" s="127" t="inlineStr">
        <is>
          <t>映前5天</t>
        </is>
      </c>
      <c r="C8" s="128" t="n">
        <v>307.6</v>
      </c>
      <c r="D8" s="127" t="n"/>
      <c r="E8" s="127" t="n"/>
      <c r="F8" s="127" t="n"/>
      <c r="G8" s="127" t="n"/>
      <c r="H8" s="130" t="inlineStr">
        <is>
          <t>数据来源：猫眼专业版 | 点映及预售总票房307.6万</t>
        </is>
      </c>
    </row>
    <row r="9" ht="28" customHeight="1" s="69">
      <c r="A9" s="131" t="inlineStr">
        <is>
          <t>2026-08-06 17:37</t>
        </is>
      </c>
      <c r="B9" s="131" t="inlineStr">
        <is>
          <t>映前5天</t>
        </is>
      </c>
      <c r="C9" s="128" t="n">
        <v>334.2</v>
      </c>
      <c r="D9" s="131" t="n"/>
      <c r="E9" s="131" t="n"/>
      <c r="F9" s="131" t="n"/>
      <c r="G9" s="131" t="n"/>
      <c r="H9" s="133" t="inlineStr">
        <is>
          <t>数据来源：猫眼专业版 | 点映及预售总票房334.2万</t>
        </is>
      </c>
    </row>
    <row r="10" ht="28" customHeight="1" s="69">
      <c r="A10" s="127" t="inlineStr">
        <is>
          <t>2026-08-06 18:03</t>
        </is>
      </c>
      <c r="B10" s="127" t="inlineStr">
        <is>
          <t>映前5天</t>
        </is>
      </c>
      <c r="C10" s="128" t="n">
        <v>353.1</v>
      </c>
      <c r="D10" s="127" t="n"/>
      <c r="E10" s="127" t="n"/>
      <c r="F10" s="127" t="n"/>
      <c r="G10" s="127" t="n"/>
      <c r="H10" s="130" t="inlineStr">
        <is>
          <t>数据来源：猫眼专业版 | 点映及预售总票房353.1万</t>
        </is>
      </c>
    </row>
    <row r="11" ht="28" customHeight="1" s="69">
      <c r="A11" s="127" t="inlineStr">
        <is>
          <t>2026-08-06 19:06</t>
        </is>
      </c>
      <c r="B11" s="127" t="inlineStr">
        <is>
          <t>映前5天</t>
        </is>
      </c>
      <c r="C11" s="128" t="n">
        <v>396.2</v>
      </c>
      <c r="D11" s="127" t="n"/>
      <c r="E11" s="127" t="n"/>
      <c r="F11" s="127" t="n"/>
      <c r="G11" s="127" t="n"/>
      <c r="H11" s="130" t="inlineStr">
        <is>
          <t>数据来源：猫眼专业版 | 点映及预售总票房396.2万</t>
        </is>
      </c>
    </row>
    <row r="12" ht="28" customHeight="1" s="69">
      <c r="A12" s="127" t="inlineStr">
        <is>
          <t>2026-08-06 20:02</t>
        </is>
      </c>
      <c r="B12" s="127" t="inlineStr">
        <is>
          <t>映前5天</t>
        </is>
      </c>
      <c r="C12" s="128" t="n">
        <v>434.2</v>
      </c>
      <c r="D12" s="127" t="n"/>
      <c r="E12" s="127" t="n"/>
      <c r="F12" s="127" t="n"/>
      <c r="G12" s="127" t="n"/>
      <c r="H12" s="130" t="inlineStr">
        <is>
          <t>数据来源：猫眼专业版 | 点映及预售总票房434.2万</t>
        </is>
      </c>
    </row>
    <row r="13" ht="28" customHeight="1" s="69">
      <c r="A13" s="131" t="inlineStr">
        <is>
          <t>2026-08-06 21:04</t>
        </is>
      </c>
      <c r="B13" s="131" t="inlineStr">
        <is>
          <t>映前5天</t>
        </is>
      </c>
      <c r="C13" s="128" t="n">
        <v>471.8</v>
      </c>
      <c r="D13" s="131" t="n"/>
      <c r="E13" s="131" t="n"/>
      <c r="F13" s="131" t="n"/>
      <c r="G13" s="131" t="n"/>
      <c r="H13" s="133" t="inlineStr">
        <is>
          <t>数据来源：猫眼专业版 | 点映及预售总票房471.8万</t>
        </is>
      </c>
    </row>
    <row r="14" ht="28" customHeight="1" s="69">
      <c r="A14" s="131" t="n"/>
      <c r="B14" s="131" t="n"/>
      <c r="C14" s="132" t="n"/>
      <c r="D14" s="132" t="n"/>
      <c r="E14" s="132" t="n"/>
      <c r="F14" s="131" t="n"/>
      <c r="G14" s="131" t="n"/>
      <c r="H14" s="133" t="n"/>
    </row>
    <row r="15" ht="28" customHeight="1" s="69">
      <c r="A15" s="127" t="n"/>
      <c r="B15" s="127" t="n"/>
      <c r="C15" s="134" t="n"/>
      <c r="D15" s="134" t="n"/>
      <c r="E15" s="134" t="n"/>
      <c r="F15" s="127" t="n"/>
      <c r="G15" s="127" t="n"/>
      <c r="H15" s="130" t="n"/>
    </row>
    <row r="16" ht="28" customHeight="1" s="69">
      <c r="A16" s="131" t="n"/>
      <c r="B16" s="131" t="n"/>
      <c r="C16" s="132" t="n"/>
      <c r="D16" s="132" t="n"/>
      <c r="E16" s="132" t="n"/>
      <c r="F16" s="131" t="n"/>
      <c r="G16" s="131" t="n"/>
      <c r="H16" s="133" t="n"/>
    </row>
    <row r="17" ht="28" customHeight="1" s="69">
      <c r="A17" s="127" t="n"/>
      <c r="B17" s="127" t="n"/>
      <c r="C17" s="134" t="n"/>
      <c r="D17" s="134" t="n"/>
      <c r="E17" s="134" t="n"/>
      <c r="F17" s="127" t="n"/>
      <c r="G17" s="127" t="n"/>
      <c r="H17" s="130" t="n"/>
    </row>
    <row r="18" ht="28" customHeight="1" s="69">
      <c r="A18" s="131" t="n"/>
      <c r="B18" s="131" t="n"/>
      <c r="C18" s="132" t="n"/>
      <c r="D18" s="132" t="n"/>
      <c r="E18" s="132" t="n"/>
      <c r="F18" s="131" t="n"/>
      <c r="G18" s="131" t="n"/>
      <c r="H18" s="133" t="n"/>
    </row>
    <row r="19" ht="28" customHeight="1" s="69">
      <c r="A19" s="127" t="n"/>
      <c r="B19" s="127" t="n"/>
      <c r="C19" s="134" t="n"/>
      <c r="D19" s="134" t="n"/>
      <c r="E19" s="134" t="n"/>
      <c r="F19" s="127" t="n"/>
      <c r="G19" s="127" t="n"/>
      <c r="H19" s="130" t="n"/>
    </row>
    <row r="20" ht="28" customHeight="1" s="69">
      <c r="A20" s="131" t="n"/>
      <c r="B20" s="131" t="n"/>
      <c r="C20" s="132" t="n"/>
      <c r="D20" s="132" t="n"/>
      <c r="E20" s="132" t="n"/>
      <c r="F20" s="131" t="n"/>
      <c r="G20" s="131" t="n"/>
      <c r="H20" s="133" t="n"/>
    </row>
    <row r="21" ht="28" customHeight="1" s="69">
      <c r="A21" s="127" t="n"/>
      <c r="B21" s="127" t="n"/>
      <c r="C21" s="134" t="n"/>
      <c r="D21" s="134" t="n"/>
      <c r="E21" s="134" t="n"/>
      <c r="F21" s="127" t="n"/>
      <c r="G21" s="127" t="n"/>
      <c r="H21" s="130" t="n"/>
    </row>
    <row r="22" ht="28" customHeight="1" s="69">
      <c r="A22" s="131" t="n"/>
      <c r="B22" s="131" t="n"/>
      <c r="C22" s="132" t="n"/>
      <c r="D22" s="132" t="n"/>
      <c r="E22" s="132" t="n"/>
      <c r="F22" s="131" t="n"/>
      <c r="G22" s="131" t="n"/>
      <c r="H22" s="133" t="n"/>
    </row>
    <row r="23" ht="28" customHeight="1" s="69">
      <c r="A23" s="127" t="n"/>
      <c r="B23" s="127" t="n"/>
      <c r="C23" s="134" t="n"/>
      <c r="D23" s="134" t="n"/>
      <c r="E23" s="134" t="n"/>
      <c r="F23" s="127" t="n"/>
      <c r="G23" s="127" t="n"/>
      <c r="H23" s="130" t="n"/>
    </row>
    <row r="24" ht="18" customHeight="1" s="69">
      <c r="A24" s="131" t="n"/>
      <c r="B24" s="150" t="n"/>
      <c r="C24" s="150" t="n"/>
      <c r="D24" s="150" t="n"/>
      <c r="E24" s="150" t="n"/>
      <c r="F24" s="150" t="n"/>
      <c r="G24" s="150" t="n"/>
      <c r="H24" s="151" t="n"/>
    </row>
    <row r="25">
      <c r="A25" s="127" t="n"/>
      <c r="B25" s="127" t="n"/>
      <c r="C25" s="134" t="n"/>
      <c r="D25" s="134" t="n"/>
      <c r="E25" s="134" t="n"/>
      <c r="F25" s="127" t="n"/>
      <c r="G25" s="127" t="n"/>
      <c r="H25" s="130" t="n"/>
    </row>
    <row r="26">
      <c r="A26" s="131" t="n"/>
      <c r="B26" s="131" t="n"/>
      <c r="C26" s="132" t="n"/>
      <c r="D26" s="132" t="n"/>
      <c r="E26" s="132" t="n"/>
      <c r="F26" s="131" t="n"/>
      <c r="G26" s="131" t="n"/>
      <c r="H26" s="133" t="n"/>
    </row>
    <row r="27">
      <c r="A27" s="135" t="inlineStr">
        <is>
          <t>注：本表逐条记录猫眼专业版截图数据。8月8-10日为超前点映日，点映票房将纳入'点映及预售总票房'。请定期截图更新。</t>
        </is>
      </c>
    </row>
    <row r="28">
      <c r="A28" s="177" t="inlineStr">
        <is>
          <t>2026-08-06 22:50</t>
        </is>
      </c>
      <c r="B28" s="177" t="inlineStr">
        <is>
          <t>映前5天</t>
        </is>
      </c>
      <c r="C28" s="177" t="inlineStr">
        <is>
          <t>定时任务</t>
        </is>
      </c>
      <c r="D28" s="177" t="n">
        <v>555.3</v>
      </c>
      <c r="E28" s="177" t="inlineStr">
        <is>
          <t>猫眼专业版</t>
        </is>
      </c>
      <c r="F28" s="177" t="inlineStr"/>
      <c r="G28" s="177" t="inlineStr"/>
      <c r="H28" s="177" t="inlineStr"/>
    </row>
    <row r="29">
      <c r="A29" s="177" t="inlineStr">
        <is>
          <t>2026-08-06 23:00</t>
        </is>
      </c>
      <c r="B29" s="177" t="inlineStr">
        <is>
          <t>映前5天</t>
        </is>
      </c>
      <c r="C29" s="177" t="inlineStr">
        <is>
          <t>GitHub Actions</t>
        </is>
      </c>
      <c r="D29" s="177" t="n">
        <v>565.1</v>
      </c>
      <c r="E29" s="177" t="inlineStr">
        <is>
          <t>猫眼专业版</t>
        </is>
      </c>
      <c r="F29" s="177" t="inlineStr"/>
      <c r="G29" s="177" t="inlineStr"/>
      <c r="H29" s="177" t="inlineStr"/>
    </row>
    <row r="30">
      <c r="A30" s="177" t="inlineStr">
        <is>
          <t>2026-08-06 23:01</t>
        </is>
      </c>
      <c r="B30" s="177" t="inlineStr">
        <is>
          <t>映前5天</t>
        </is>
      </c>
      <c r="C30" s="177" t="inlineStr">
        <is>
          <t>定时任务</t>
        </is>
      </c>
      <c r="D30" s="177" t="n">
        <v>565.5</v>
      </c>
      <c r="E30" s="177" t="inlineStr">
        <is>
          <t>猫眼专业版</t>
        </is>
      </c>
      <c r="F30" s="177" t="inlineStr"/>
      <c r="G30" s="177" t="inlineStr"/>
      <c r="H30" s="177" t="inlineStr"/>
    </row>
  </sheetData>
  <mergeCells count="3">
    <mergeCell ref="A24:H2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style="69" min="1" max="1"/>
    <col width="22" customWidth="1" style="69" min="2" max="2"/>
    <col width="12" customWidth="1" style="69" min="3" max="3"/>
    <col width="14" customWidth="1" style="69" min="4" max="4"/>
    <col width="16" customWidth="1" style="69" min="5" max="5"/>
    <col width="18" customWidth="1" style="69" min="6" max="6"/>
    <col width="12" customWidth="1" style="69" min="7" max="7"/>
    <col width="16" customWidth="1" style="69" min="8" max="8"/>
  </cols>
  <sheetData>
    <row r="1" ht="30" customHeight="1" s="69">
      <c r="A1" s="178" t="inlineStr">
        <is>
          <t>《欢迎来龙餐馆》预售票房增长分析（2026-08-06 映前5天）</t>
        </is>
      </c>
    </row>
    <row r="2" ht="25" customHeight="1" s="69">
      <c r="A2" s="179" t="inlineStr">
        <is>
          <t>序号</t>
        </is>
      </c>
      <c r="B2" s="179" t="inlineStr">
        <is>
          <t>获取时间</t>
        </is>
      </c>
      <c r="C2" s="179" t="inlineStr">
        <is>
          <t>阶段</t>
        </is>
      </c>
      <c r="D2" s="179" t="inlineStr">
        <is>
          <t>预售票房(万)</t>
        </is>
      </c>
      <c r="E2" s="179" t="inlineStr">
        <is>
          <t>较前次增量(万)</t>
        </is>
      </c>
      <c r="F2" s="179" t="inlineStr">
        <is>
          <t>较22:02增量(万)</t>
        </is>
      </c>
      <c r="G2" s="179" t="inlineStr">
        <is>
          <t>增幅(%)</t>
        </is>
      </c>
      <c r="H2" s="179" t="inlineStr">
        <is>
          <t>数据来源</t>
        </is>
      </c>
    </row>
    <row r="3">
      <c r="A3" s="177" t="n">
        <v>1</v>
      </c>
      <c r="B3" s="177" t="inlineStr">
        <is>
          <t>2026-08-06 21:52:32</t>
        </is>
      </c>
      <c r="C3" s="177" t="inlineStr">
        <is>
          <t>映前5天</t>
        </is>
      </c>
      <c r="D3" s="177" t="n">
        <v>497.8</v>
      </c>
      <c r="E3" s="177" t="inlineStr">
        <is>
          <t>—</t>
        </is>
      </c>
      <c r="F3" s="177" t="inlineStr">
        <is>
          <t>-4.9</t>
        </is>
      </c>
      <c r="G3" s="177" t="inlineStr">
        <is>
          <t>+-1.0%</t>
        </is>
      </c>
      <c r="H3" s="177" t="inlineStr">
        <is>
          <t>GitHub Actions</t>
        </is>
      </c>
    </row>
    <row r="4">
      <c r="A4" s="180" t="n">
        <v>2</v>
      </c>
      <c r="B4" s="180" t="inlineStr">
        <is>
          <t>2026-08-06 22:02:00</t>
        </is>
      </c>
      <c r="C4" s="180" t="inlineStr">
        <is>
          <t>映前5天</t>
        </is>
      </c>
      <c r="D4" s="180" t="n">
        <v>502.7</v>
      </c>
      <c r="E4" s="180" t="inlineStr">
        <is>
          <t>+4.9</t>
        </is>
      </c>
      <c r="F4" s="180" t="inlineStr">
        <is>
          <t>—（基准）</t>
        </is>
      </c>
      <c r="G4" s="180" t="inlineStr">
        <is>
          <t>—</t>
        </is>
      </c>
      <c r="H4" s="180" t="inlineStr">
        <is>
          <t>定时任务</t>
        </is>
      </c>
    </row>
    <row r="5">
      <c r="A5" s="177" t="n">
        <v>3</v>
      </c>
      <c r="B5" s="177" t="inlineStr">
        <is>
          <t>2026-08-06 22:30:00</t>
        </is>
      </c>
      <c r="C5" s="177" t="inlineStr">
        <is>
          <t>映前5天</t>
        </is>
      </c>
      <c r="D5" s="177" t="n">
        <v>525.7</v>
      </c>
      <c r="E5" s="177" t="inlineStr">
        <is>
          <t>+23.0</t>
        </is>
      </c>
      <c r="F5" s="177" t="inlineStr">
        <is>
          <t>+23.0</t>
        </is>
      </c>
      <c r="G5" s="177" t="inlineStr">
        <is>
          <t>+4.6%</t>
        </is>
      </c>
      <c r="H5" s="177" t="inlineStr">
        <is>
          <t>GitHub Actions</t>
        </is>
      </c>
    </row>
    <row r="6">
      <c r="A6" s="177" t="n">
        <v>4</v>
      </c>
      <c r="B6" s="177" t="inlineStr">
        <is>
          <t>2026-08-06 22:50:40</t>
        </is>
      </c>
      <c r="C6" s="177" t="inlineStr">
        <is>
          <t>映前5天</t>
        </is>
      </c>
      <c r="D6" s="177" t="n">
        <v>555.3</v>
      </c>
      <c r="E6" s="177" t="inlineStr">
        <is>
          <t>+29.6</t>
        </is>
      </c>
      <c r="F6" s="177" t="inlineStr">
        <is>
          <t>+52.6</t>
        </is>
      </c>
      <c r="G6" s="177" t="inlineStr">
        <is>
          <t>+10.5%</t>
        </is>
      </c>
      <c r="H6" s="177" t="inlineStr">
        <is>
          <t>定时任务</t>
        </is>
      </c>
    </row>
    <row r="7">
      <c r="A7" s="177" t="n">
        <v>5</v>
      </c>
      <c r="B7" s="177" t="inlineStr">
        <is>
          <t>2026-08-06 23:00:29</t>
        </is>
      </c>
      <c r="C7" s="177" t="inlineStr">
        <is>
          <t>映前5天</t>
        </is>
      </c>
      <c r="D7" s="177" t="n">
        <v>565.1</v>
      </c>
      <c r="E7" s="177" t="inlineStr">
        <is>
          <t>+9.8</t>
        </is>
      </c>
      <c r="F7" s="177" t="inlineStr">
        <is>
          <t>+62.4</t>
        </is>
      </c>
      <c r="G7" s="177" t="inlineStr">
        <is>
          <t>+12.4%</t>
        </is>
      </c>
      <c r="H7" s="177" t="inlineStr">
        <is>
          <t>GitHub Actions</t>
        </is>
      </c>
    </row>
    <row r="8">
      <c r="A8" s="177" t="n">
        <v>6</v>
      </c>
      <c r="B8" s="177" t="inlineStr">
        <is>
          <t>2026-08-06 23:01:02</t>
        </is>
      </c>
      <c r="C8" s="177" t="inlineStr">
        <is>
          <t>映前5天</t>
        </is>
      </c>
      <c r="D8" s="177" t="n">
        <v>565.5</v>
      </c>
      <c r="E8" s="177" t="inlineStr">
        <is>
          <t>+0.4</t>
        </is>
      </c>
      <c r="F8" s="177" t="inlineStr">
        <is>
          <t>+62.8</t>
        </is>
      </c>
      <c r="G8" s="177" t="inlineStr">
        <is>
          <t>+12.5%</t>
        </is>
      </c>
      <c r="H8" s="177" t="inlineStr">
        <is>
          <t>定时任务</t>
        </is>
      </c>
    </row>
    <row r="10" ht="25" customHeight="1" s="69">
      <c r="A10" s="181" t="inlineStr">
        <is>
          <t>增长分析汇总</t>
        </is>
      </c>
    </row>
    <row r="11">
      <c r="A11" s="182" t="inlineStr">
        <is>
          <t>起始时间</t>
        </is>
      </c>
      <c r="B11" s="182" t="inlineStr">
        <is>
          <t>2026-08-06 22:02:00</t>
        </is>
      </c>
      <c r="C11" s="182" t="inlineStr">
        <is>
          <t>基准票房</t>
        </is>
      </c>
      <c r="D11" s="182" t="inlineStr">
        <is>
          <t>502.7万</t>
        </is>
      </c>
      <c r="E11" s="183" t="inlineStr"/>
      <c r="F11" s="183" t="inlineStr"/>
      <c r="G11" s="183" t="inlineStr"/>
      <c r="H11" s="183" t="inlineStr"/>
    </row>
    <row r="12">
      <c r="A12" s="182" t="inlineStr">
        <is>
          <t>最新时间</t>
        </is>
      </c>
      <c r="B12" s="182" t="inlineStr">
        <is>
          <t>2026-08-06 23:01:02</t>
        </is>
      </c>
      <c r="C12" s="182" t="inlineStr">
        <is>
          <t>最新票房</t>
        </is>
      </c>
      <c r="D12" s="182" t="inlineStr">
        <is>
          <t>565.5万</t>
        </is>
      </c>
      <c r="E12" s="183" t="inlineStr"/>
      <c r="F12" s="183" t="inlineStr"/>
      <c r="G12" s="183" t="inlineStr"/>
      <c r="H12" s="183" t="inlineStr"/>
    </row>
    <row r="13">
      <c r="A13" s="182" t="inlineStr">
        <is>
          <t>总增长(较22:02)</t>
        </is>
      </c>
      <c r="B13" s="182" t="inlineStr">
        <is>
          <t>+62.8万</t>
        </is>
      </c>
      <c r="C13" s="182" t="inlineStr">
        <is>
          <t>增幅</t>
        </is>
      </c>
      <c r="D13" s="182" t="inlineStr">
        <is>
          <t>+12.5%</t>
        </is>
      </c>
      <c r="E13" s="183" t="inlineStr">
        <is>
          <t>时长</t>
        </is>
      </c>
      <c r="F13" s="183" t="inlineStr">
        <is>
          <t>约59分钟</t>
        </is>
      </c>
      <c r="G13" s="183" t="inlineStr">
        <is>
          <t>平均增速</t>
        </is>
      </c>
      <c r="H13" s="183" t="inlineStr">
        <is>
          <t>63.9万/小时</t>
        </is>
      </c>
    </row>
    <row r="14">
      <c r="A14" s="182" t="inlineStr">
        <is>
          <t>总增长(较21:52)</t>
        </is>
      </c>
      <c r="B14" s="182" t="inlineStr">
        <is>
          <t>+67.7万</t>
        </is>
      </c>
      <c r="C14" s="182" t="inlineStr">
        <is>
          <t>增幅</t>
        </is>
      </c>
      <c r="D14" s="182" t="inlineStr">
        <is>
          <t>+13.6%</t>
        </is>
      </c>
      <c r="E14" s="183" t="inlineStr">
        <is>
          <t>时长</t>
        </is>
      </c>
      <c r="F14" s="183" t="inlineStr">
        <is>
          <t>约69分钟</t>
        </is>
      </c>
      <c r="G14" s="183" t="inlineStr">
        <is>
          <t>平均增速</t>
        </is>
      </c>
      <c r="H14" s="183" t="inlineStr">
        <is>
          <t>58.9万/小时</t>
        </is>
      </c>
    </row>
    <row r="16" ht="25" customHeight="1" s="69">
      <c r="A16" s="181" t="inlineStr">
        <is>
          <t>分时段增速明细</t>
        </is>
      </c>
    </row>
    <row r="17">
      <c r="A17" s="184" t="inlineStr">
        <is>
          <t>时段</t>
        </is>
      </c>
      <c r="B17" s="184" t="inlineStr">
        <is>
          <t>时长</t>
        </is>
      </c>
      <c r="C17" s="184" t="inlineStr">
        <is>
          <t>起始票房(万)</t>
        </is>
      </c>
      <c r="D17" s="184" t="inlineStr">
        <is>
          <t>结束票房(万)</t>
        </is>
      </c>
      <c r="E17" s="184" t="inlineStr">
        <is>
          <t>增量(万)</t>
        </is>
      </c>
      <c r="F17" s="184" t="inlineStr">
        <is>
          <t>增速(万/小时)</t>
        </is>
      </c>
      <c r="G17" s="184" t="inlineStr">
        <is>
          <t>增速评价</t>
        </is>
      </c>
      <c r="H17" s="184" t="inlineStr"/>
    </row>
    <row r="18">
      <c r="A18" s="177" t="inlineStr">
        <is>
          <t>21:52 → 22:02</t>
        </is>
      </c>
      <c r="B18" s="177" t="inlineStr">
        <is>
          <t>10分钟</t>
        </is>
      </c>
      <c r="C18" s="177" t="n">
        <v>497.8</v>
      </c>
      <c r="D18" s="177" t="n">
        <v>502.7</v>
      </c>
      <c r="E18" s="177" t="inlineStr">
        <is>
          <t>+4.9</t>
        </is>
      </c>
      <c r="F18" s="177" t="inlineStr">
        <is>
          <t>29.4</t>
        </is>
      </c>
      <c r="G18" s="177" t="inlineStr">
        <is>
          <t>中等增长</t>
        </is>
      </c>
      <c r="H18" s="177" t="inlineStr"/>
    </row>
    <row r="19">
      <c r="A19" s="177" t="inlineStr">
        <is>
          <t>22:02 → 22:30</t>
        </is>
      </c>
      <c r="B19" s="177" t="inlineStr">
        <is>
          <t>28分钟</t>
        </is>
      </c>
      <c r="C19" s="177" t="n">
        <v>502.7</v>
      </c>
      <c r="D19" s="177" t="n">
        <v>525.7</v>
      </c>
      <c r="E19" s="177" t="inlineStr">
        <is>
          <t>+23.0</t>
        </is>
      </c>
      <c r="F19" s="177" t="inlineStr">
        <is>
          <t>49.3</t>
        </is>
      </c>
      <c r="G19" s="177" t="inlineStr">
        <is>
          <t>稳定增长</t>
        </is>
      </c>
      <c r="H19" s="177" t="inlineStr"/>
    </row>
    <row r="20">
      <c r="A20" s="177" t="inlineStr">
        <is>
          <t>22:30 → 22:50</t>
        </is>
      </c>
      <c r="B20" s="177" t="inlineStr">
        <is>
          <t>20分钟</t>
        </is>
      </c>
      <c r="C20" s="177" t="n">
        <v>525.7</v>
      </c>
      <c r="D20" s="177" t="n">
        <v>555.3</v>
      </c>
      <c r="E20" s="177" t="inlineStr">
        <is>
          <t>+29.6</t>
        </is>
      </c>
      <c r="F20" s="177" t="inlineStr">
        <is>
          <t>88.8</t>
        </is>
      </c>
      <c r="G20" s="177" t="inlineStr">
        <is>
          <t>高速增长</t>
        </is>
      </c>
      <c r="H20" s="177" t="inlineStr"/>
    </row>
    <row r="21">
      <c r="A21" s="177" t="inlineStr">
        <is>
          <t>22:50 → 23:01</t>
        </is>
      </c>
      <c r="B21" s="177" t="inlineStr">
        <is>
          <t>11分钟</t>
        </is>
      </c>
      <c r="C21" s="177" t="n">
        <v>555.3</v>
      </c>
      <c r="D21" s="177" t="n">
        <v>565.5</v>
      </c>
      <c r="E21" s="177" t="inlineStr">
        <is>
          <t>+10.2</t>
        </is>
      </c>
      <c r="F21" s="177" t="inlineStr">
        <is>
          <t>55.6</t>
        </is>
      </c>
      <c r="G21" s="177" t="inlineStr">
        <is>
          <t>稳定增长</t>
        </is>
      </c>
      <c r="H21" s="177" t="inlineStr"/>
    </row>
  </sheetData>
  <mergeCells count="3">
    <mergeCell ref="A16:H16"/>
    <mergeCell ref="A10:H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style="69" min="1" max="1"/>
    <col width="14" customWidth="1" style="69" min="2" max="2"/>
    <col width="12" customWidth="1" style="69" min="3" max="3"/>
    <col width="16" customWidth="1" style="69" min="4" max="4"/>
    <col width="14" customWidth="1" style="69" min="5" max="5"/>
    <col width="14" customWidth="1" style="69" min="6" max="6"/>
    <col width="14" customWidth="1" style="69" min="7" max="7"/>
  </cols>
  <sheetData>
    <row r="1" ht="30" customHeight="1" s="69">
      <c r="A1" s="178" t="inlineStr">
        <is>
          <t>抓娃娃 vs 来龙餐馆 预售基准对比分析</t>
        </is>
      </c>
    </row>
    <row r="3" ht="24" customHeight="1" s="69">
      <c r="A3" s="181" t="inlineStr">
        <is>
          <t>一、抓娃娃每日新增点映及预售总票房（基准）</t>
        </is>
      </c>
    </row>
    <row r="4">
      <c r="A4" s="186" t="inlineStr">
        <is>
          <t>阶段</t>
        </is>
      </c>
      <c r="B4" s="186" t="inlineStr">
        <is>
          <t>每日新增(万)</t>
        </is>
      </c>
      <c r="C4" s="186" t="inlineStr">
        <is>
          <t>日增长率</t>
        </is>
      </c>
      <c r="D4" s="186" t="inlineStr">
        <is>
          <t>累计(万)</t>
        </is>
      </c>
      <c r="E4" s="186" t="inlineStr">
        <is>
          <t>增长倍数(vs前日)</t>
        </is>
      </c>
      <c r="F4" s="186" t="inlineStr">
        <is>
          <t>备注</t>
        </is>
      </c>
      <c r="G4" s="151" t="n"/>
    </row>
    <row r="5">
      <c r="A5" s="177" t="inlineStr">
        <is>
          <t>映前5天</t>
        </is>
      </c>
      <c r="B5" s="177" t="n">
        <v>579.5</v>
      </c>
      <c r="C5" s="177" t="inlineStr">
        <is>
          <t>—</t>
        </is>
      </c>
      <c r="D5" s="177" t="n">
        <v>579.5</v>
      </c>
      <c r="E5" s="177" t="inlineStr">
        <is>
          <t>—</t>
        </is>
      </c>
      <c r="F5" s="177" t="inlineStr">
        <is>
          <t>预售首日</t>
        </is>
      </c>
      <c r="G5" s="188" t="n"/>
    </row>
    <row r="6">
      <c r="A6" s="177" t="inlineStr">
        <is>
          <t>映前4天</t>
        </is>
      </c>
      <c r="B6" s="177" t="n">
        <v>1630.24</v>
      </c>
      <c r="C6" s="177" t="inlineStr">
        <is>
          <t>+181%</t>
        </is>
      </c>
      <c r="D6" s="177" t="n">
        <v>2209.74</v>
      </c>
      <c r="E6" s="177" t="inlineStr">
        <is>
          <t>2.81x</t>
        </is>
      </c>
      <c r="F6" s="177" t="inlineStr">
        <is>
          <t>稳步增长</t>
        </is>
      </c>
      <c r="G6" s="188" t="n"/>
    </row>
    <row r="7">
      <c r="A7" s="180" t="inlineStr">
        <is>
          <t>映前3天</t>
        </is>
      </c>
      <c r="B7" s="180" t="n">
        <v>14876.95</v>
      </c>
      <c r="C7" s="180" t="inlineStr">
        <is>
          <t>+813%</t>
        </is>
      </c>
      <c r="D7" s="180" t="n">
        <v>17086.69</v>
      </c>
      <c r="E7" s="180" t="inlineStr">
        <is>
          <t>9.13x</t>
        </is>
      </c>
      <c r="F7" s="180" t="inlineStr">
        <is>
          <t>点映开始!! 爆发</t>
        </is>
      </c>
      <c r="G7" s="188" t="n"/>
    </row>
    <row r="8">
      <c r="A8" s="180" t="inlineStr">
        <is>
          <t>映前2天</t>
        </is>
      </c>
      <c r="B8" s="180" t="n">
        <v>19202.61</v>
      </c>
      <c r="C8" s="180" t="inlineStr">
        <is>
          <t>+29%</t>
        </is>
      </c>
      <c r="D8" s="180" t="n">
        <v>36289.3</v>
      </c>
      <c r="E8" s="180" t="inlineStr">
        <is>
          <t>1.29x</t>
        </is>
      </c>
      <c r="F8" s="180" t="inlineStr">
        <is>
          <t>点映高峰</t>
        </is>
      </c>
      <c r="G8" s="188" t="n"/>
    </row>
    <row r="9">
      <c r="A9" s="177" t="inlineStr">
        <is>
          <t>映前1天</t>
        </is>
      </c>
      <c r="B9" s="177" t="n">
        <v>14188.64</v>
      </c>
      <c r="C9" s="177" t="inlineStr">
        <is>
          <t>+-26%</t>
        </is>
      </c>
      <c r="D9" s="177" t="n">
        <v>50477.94</v>
      </c>
      <c r="E9" s="177" t="inlineStr">
        <is>
          <t>0.74x</t>
        </is>
      </c>
      <c r="F9" s="177" t="inlineStr">
        <is>
          <t>首映前夕</t>
        </is>
      </c>
      <c r="G9" s="188" t="n"/>
    </row>
    <row r="11">
      <c r="A11" s="193" t="inlineStr">
        <is>
          <t>关键比率: 映前5天→4天增长 2.81x | 日均增速(映前4天) 67.9万/h</t>
        </is>
      </c>
    </row>
    <row r="13" ht="24" customHeight="1" s="69">
      <c r="A13" s="181" t="inlineStr">
        <is>
          <t>二、来龙餐馆当前进度（8/7 映前4天）</t>
        </is>
      </c>
    </row>
    <row r="14">
      <c r="A14" s="186" t="inlineStr">
        <is>
          <t>指标</t>
        </is>
      </c>
      <c r="B14" s="186" t="inlineStr">
        <is>
          <t>数值</t>
        </is>
      </c>
      <c r="C14" s="186" t="inlineStr">
        <is>
          <t>说明</t>
        </is>
      </c>
      <c r="D14" s="150" t="n"/>
      <c r="E14" s="150" t="n"/>
      <c r="F14" s="150" t="n"/>
      <c r="G14" s="151" t="n"/>
    </row>
    <row r="15">
      <c r="A15" s="187" t="inlineStr">
        <is>
          <t>8/6收尾累计(映前5天)</t>
        </is>
      </c>
      <c r="B15" s="177" t="inlineStr">
        <is>
          <t>565.5万</t>
        </is>
      </c>
      <c r="C15" s="189" t="inlineStr">
        <is>
          <t>8/6 23:01实测值</t>
        </is>
      </c>
      <c r="D15" s="188" t="n"/>
      <c r="E15" s="188" t="n"/>
      <c r="F15" s="188" t="n"/>
      <c r="G15" s="188" t="n"/>
    </row>
    <row r="16">
      <c r="A16" s="187" t="inlineStr">
        <is>
          <t>当前累计(8/7 01:29)</t>
        </is>
      </c>
      <c r="B16" s="177" t="inlineStr">
        <is>
          <t>618.1万</t>
        </is>
      </c>
      <c r="C16" s="189" t="inlineStr">
        <is>
          <t>最新获取数据</t>
        </is>
      </c>
      <c r="D16" s="188" t="n"/>
      <c r="E16" s="188" t="n"/>
      <c r="F16" s="188" t="n"/>
      <c r="G16" s="188" t="n"/>
    </row>
    <row r="17">
      <c r="A17" s="187" t="inlineStr">
        <is>
          <t>8/7已新增</t>
        </is>
      </c>
      <c r="B17" s="177" t="inlineStr">
        <is>
          <t>52.6万</t>
        </is>
      </c>
      <c r="C17" s="189" t="inlineStr">
        <is>
          <t>约1.5小时增长，增速35.1万/h</t>
        </is>
      </c>
      <c r="D17" s="188" t="n"/>
      <c r="E17" s="188" t="n"/>
      <c r="F17" s="188" t="n"/>
      <c r="G17" s="188" t="n"/>
    </row>
    <row r="18">
      <c r="A18" s="194" t="inlineStr">
        <is>
          <t>8/7目标新增</t>
        </is>
      </c>
      <c r="B18" s="180" t="inlineStr">
        <is>
          <t>1630.24万</t>
        </is>
      </c>
      <c r="C18" s="189" t="inlineStr">
        <is>
          <t>对标抓娃娃映前4天</t>
        </is>
      </c>
      <c r="D18" s="188" t="n"/>
      <c r="E18" s="188" t="n"/>
      <c r="F18" s="188" t="n"/>
      <c r="G18" s="188" t="n"/>
    </row>
    <row r="19">
      <c r="A19" s="187" t="inlineStr">
        <is>
          <t>8/7目标累计</t>
        </is>
      </c>
      <c r="B19" s="177" t="inlineStr">
        <is>
          <t>2195.74万</t>
        </is>
      </c>
      <c r="C19" s="189">
        <f> 565.5 + 1630.24</f>
        <v/>
      </c>
      <c r="D19" s="188" t="n"/>
      <c r="E19" s="188" t="n"/>
      <c r="F19" s="188" t="n"/>
      <c r="G19" s="188" t="n"/>
    </row>
    <row r="20">
      <c r="A20" s="187" t="inlineStr">
        <is>
          <t>剩余需增长</t>
        </is>
      </c>
      <c r="B20" s="177" t="inlineStr">
        <is>
          <t>1577.64万</t>
        </is>
      </c>
      <c r="C20" s="189" t="inlineStr">
        <is>
          <t>目标1630.24 - 已完成52.6</t>
        </is>
      </c>
      <c r="D20" s="188" t="n"/>
      <c r="E20" s="188" t="n"/>
      <c r="F20" s="188" t="n"/>
      <c r="G20" s="188" t="n"/>
    </row>
    <row r="21">
      <c r="A21" s="187" t="inlineStr">
        <is>
          <t>剩余时间</t>
        </is>
      </c>
      <c r="B21" s="177" t="inlineStr">
        <is>
          <t>21.5小时</t>
        </is>
      </c>
      <c r="C21" s="189" t="inlineStr">
        <is>
          <t>至8/7 23:00</t>
        </is>
      </c>
      <c r="D21" s="188" t="n"/>
      <c r="E21" s="188" t="n"/>
      <c r="F21" s="188" t="n"/>
      <c r="G21" s="188" t="n"/>
    </row>
    <row r="22">
      <c r="A22" s="194" t="inlineStr">
        <is>
          <t>所需平均增速</t>
        </is>
      </c>
      <c r="B22" s="180" t="inlineStr">
        <is>
          <t>73.4万/h</t>
        </is>
      </c>
      <c r="C22" s="189" t="inlineStr">
        <is>
          <t>V3预测仅43.3万/h，需达成的1.7倍</t>
        </is>
      </c>
      <c r="D22" s="188" t="n"/>
      <c r="E22" s="188" t="n"/>
      <c r="F22" s="188" t="n"/>
      <c r="G22" s="188" t="n"/>
    </row>
    <row r="23">
      <c r="A23" s="187" t="inlineStr">
        <is>
          <t>V3预测8/7累计</t>
        </is>
      </c>
      <c r="B23" s="191" t="inlineStr">
        <is>
          <t>1181.9万</t>
        </is>
      </c>
      <c r="C23" s="189" t="inlineStr">
        <is>
          <t>比目标低1013.8万</t>
        </is>
      </c>
      <c r="D23" s="188" t="n"/>
      <c r="E23" s="188" t="n"/>
      <c r="F23" s="188" t="n"/>
      <c r="G23" s="188" t="n"/>
    </row>
    <row r="24">
      <c r="A24" s="187" t="inlineStr">
        <is>
          <t>V3预测8/7新增</t>
        </is>
      </c>
      <c r="B24" s="191" t="inlineStr">
        <is>
          <t>616.4万</t>
        </is>
      </c>
      <c r="C24" s="189" t="inlineStr">
        <is>
          <t>比目标低1013.8万</t>
        </is>
      </c>
      <c r="D24" s="188" t="n"/>
      <c r="E24" s="188" t="n"/>
      <c r="F24" s="188" t="n"/>
      <c r="G24" s="188" t="n"/>
    </row>
    <row r="26" ht="24" customHeight="1" s="69">
      <c r="A26" s="181" t="inlineStr">
        <is>
          <t>三、达成1630.24万目标的逐小时所需增速</t>
        </is>
      </c>
    </row>
    <row r="27">
      <c r="A27" s="186" t="inlineStr">
        <is>
          <t>时段</t>
        </is>
      </c>
      <c r="B27" s="186" t="inlineStr">
        <is>
          <t>时长(h)</t>
        </is>
      </c>
      <c r="C27" s="186" t="inlineStr">
        <is>
          <t>时段系数</t>
        </is>
      </c>
      <c r="D27" s="186" t="inlineStr">
        <is>
          <t>所需增速(万/h)</t>
        </is>
      </c>
      <c r="E27" s="186" t="inlineStr">
        <is>
          <t>时段新增(万)</t>
        </is>
      </c>
      <c r="F27" s="186" t="inlineStr">
        <is>
          <t>累计(万)</t>
        </is>
      </c>
      <c r="G27" s="186" t="inlineStr">
        <is>
          <t>难度评估</t>
        </is>
      </c>
    </row>
    <row r="28">
      <c r="A28" s="177" t="inlineStr">
        <is>
          <t>01:30-06:00 凌晨</t>
        </is>
      </c>
      <c r="B28" s="177" t="n">
        <v>4.5</v>
      </c>
      <c r="C28" s="177" t="n">
        <v>0.15</v>
      </c>
      <c r="D28" s="177" t="n">
        <v>16.3</v>
      </c>
      <c r="E28" s="177" t="n">
        <v>73.59999999999999</v>
      </c>
      <c r="F28" s="177" t="n">
        <v>691.7</v>
      </c>
      <c r="G28" s="182" t="inlineStr">
        <is>
          <t>轻松</t>
        </is>
      </c>
    </row>
    <row r="29">
      <c r="A29" s="177" t="inlineStr">
        <is>
          <t>06:00-10:00 早晨</t>
        </is>
      </c>
      <c r="B29" s="177" t="n">
        <v>4</v>
      </c>
      <c r="C29" s="177" t="n">
        <v>0.3</v>
      </c>
      <c r="D29" s="177" t="n">
        <v>32.7</v>
      </c>
      <c r="E29" s="177" t="n">
        <v>130.8</v>
      </c>
      <c r="F29" s="177" t="n">
        <v>822.5</v>
      </c>
      <c r="G29" s="182" t="inlineStr">
        <is>
          <t>可行</t>
        </is>
      </c>
    </row>
    <row r="30">
      <c r="A30" s="177" t="inlineStr">
        <is>
          <t>10:00-12:00 上午</t>
        </is>
      </c>
      <c r="B30" s="177" t="n">
        <v>2</v>
      </c>
      <c r="C30" s="177" t="n">
        <v>0.55</v>
      </c>
      <c r="D30" s="177" t="n">
        <v>59.9</v>
      </c>
      <c r="E30" s="177" t="n">
        <v>119.9</v>
      </c>
      <c r="F30" s="177" t="n">
        <v>942.4</v>
      </c>
      <c r="G30" s="194" t="inlineStr">
        <is>
          <t>有挑战</t>
        </is>
      </c>
    </row>
    <row r="31">
      <c r="A31" s="177" t="inlineStr">
        <is>
          <t>12:00-14:00 午间</t>
        </is>
      </c>
      <c r="B31" s="177" t="n">
        <v>2</v>
      </c>
      <c r="C31" s="177" t="n">
        <v>0.7</v>
      </c>
      <c r="D31" s="177" t="n">
        <v>76.3</v>
      </c>
      <c r="E31" s="177" t="n">
        <v>152.6</v>
      </c>
      <c r="F31" s="177" t="n">
        <v>1095</v>
      </c>
      <c r="G31" s="195" t="inlineStr">
        <is>
          <t>困难</t>
        </is>
      </c>
    </row>
    <row r="32">
      <c r="A32" s="177" t="inlineStr">
        <is>
          <t>14:00-18:00 下午</t>
        </is>
      </c>
      <c r="B32" s="177" t="n">
        <v>4</v>
      </c>
      <c r="C32" s="177" t="n">
        <v>0.9</v>
      </c>
      <c r="D32" s="177" t="n">
        <v>98.09999999999999</v>
      </c>
      <c r="E32" s="177" t="n">
        <v>392.4</v>
      </c>
      <c r="F32" s="177" t="n">
        <v>1487.4</v>
      </c>
      <c r="G32" s="195" t="inlineStr">
        <is>
          <t>困难</t>
        </is>
      </c>
    </row>
    <row r="33">
      <c r="A33" s="177" t="inlineStr">
        <is>
          <t>18:00-23:00 晚间</t>
        </is>
      </c>
      <c r="B33" s="177" t="n">
        <v>5</v>
      </c>
      <c r="C33" s="177" t="n">
        <v>1.3</v>
      </c>
      <c r="D33" s="177" t="n">
        <v>141.7</v>
      </c>
      <c r="E33" s="177" t="n">
        <v>708.4</v>
      </c>
      <c r="F33" s="177" t="n">
        <v>2195.8</v>
      </c>
      <c r="G33" s="195" t="inlineStr">
        <is>
          <t>极难</t>
        </is>
      </c>
    </row>
    <row r="35" ht="24" customHeight="1" s="69">
      <c r="A35" s="181" t="inlineStr">
        <is>
          <t>四、对比分析与结论</t>
        </is>
      </c>
    </row>
    <row r="36" ht="20" customHeight="1" s="69">
      <c r="A36" s="192" t="inlineStr">
        <is>
          <t>• 抓娃娃映前5天→4天增长比 2.81x（579.5万→1630.24万，日增1050.74万）</t>
        </is>
      </c>
    </row>
    <row r="37" ht="20" customHeight="1" s="69">
      <c r="A37" s="192" t="inlineStr">
        <is>
          <t>• 龙餐馆映前5天收尾 565.5万，按同比例等效目标 1590.86万，设定目标 1630.24万</t>
        </is>
      </c>
    </row>
    <row r="38" ht="20" customHeight="1" s="69">
      <c r="A38" s="192" t="inlineStr">
        <is>
          <t>• 达成目标需8/7全天平均增速 73.4万/h，是V3预测(43.3万/h)的 1.7倍</t>
        </is>
      </c>
    </row>
    <row r="39" ht="20" customHeight="1" s="69">
      <c r="A39" s="196" t="inlineStr">
        <is>
          <t>• 关键时段：18:00-23:00晚间需贡献约708万，占比约45%</t>
        </is>
      </c>
    </row>
    <row r="40" ht="20" customHeight="1" s="69">
      <c r="A40" s="192" t="inlineStr">
        <is>
          <t>• V3预测8/7累计仅1181.9万，比目标低1014万，需大幅修正预期或依赖晚间爆发</t>
        </is>
      </c>
    </row>
    <row r="41" ht="20" customHeight="1" s="69">
      <c r="A41" s="192" t="inlineStr">
        <is>
          <t>• 当前深夜增速偏低(01:29仅35.1万/h)，凌晨时段对总量贡献有限</t>
        </is>
      </c>
    </row>
    <row r="42" ht="20" customHeight="1" s="69">
      <c r="A42" s="197" t="inlineStr">
        <is>
          <t>• 可行性判断：达成目标难度极大，需8/7白天增速显著高于8/6，且晚间出现爆发式增长</t>
        </is>
      </c>
    </row>
    <row r="43" ht="20" customHeight="1" s="69">
      <c r="A43" s="192" t="inlineStr">
        <is>
          <t>• 参考抓娃娃映前3天爆发(14876.95万)，点映开始后增速可能数倍增长，但龙餐馆想看基数远低于抓娃娃</t>
        </is>
      </c>
    </row>
    <row r="44" ht="20" customHeight="1" s="69">
      <c r="A44" s="197" t="inlineStr">
        <is>
          <t>• 建议持续跟踪8/7白天增速趋势，若12:00前累计未达800万，目标基本无法达成</t>
        </is>
      </c>
    </row>
  </sheetData>
  <mergeCells count="32">
    <mergeCell ref="F4:G4"/>
    <mergeCell ref="C24:G24"/>
    <mergeCell ref="C15:G15"/>
    <mergeCell ref="A35:G35"/>
    <mergeCell ref="A38:G38"/>
    <mergeCell ref="F6:G6"/>
    <mergeCell ref="C14:G14"/>
    <mergeCell ref="A43:G43"/>
    <mergeCell ref="F7:G7"/>
    <mergeCell ref="A13:G13"/>
    <mergeCell ref="A44:G44"/>
    <mergeCell ref="C20:G20"/>
    <mergeCell ref="A40:G40"/>
    <mergeCell ref="C16:G16"/>
    <mergeCell ref="A39:G39"/>
    <mergeCell ref="F5:G5"/>
    <mergeCell ref="C22:G22"/>
    <mergeCell ref="A11:G11"/>
    <mergeCell ref="F8:G8"/>
    <mergeCell ref="A36:G36"/>
    <mergeCell ref="C21:G21"/>
    <mergeCell ref="A1:G1"/>
    <mergeCell ref="C23:G23"/>
    <mergeCell ref="A41:G41"/>
    <mergeCell ref="F9:G9"/>
    <mergeCell ref="C17:G17"/>
    <mergeCell ref="A37:G37"/>
    <mergeCell ref="A3:G3"/>
    <mergeCell ref="A26:G26"/>
    <mergeCell ref="C19:G19"/>
    <mergeCell ref="C18:G18"/>
    <mergeCell ref="A42:G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22" customWidth="1" style="69" min="1" max="1"/>
    <col width="10" customWidth="1" style="69" min="2" max="2"/>
    <col width="16" customWidth="1" style="69" min="3" max="3"/>
    <col width="16" customWidth="1" style="69" min="4" max="4"/>
    <col width="22" customWidth="1" style="69" min="5" max="5"/>
    <col width="10" customWidth="1" style="69" min="6" max="6"/>
  </cols>
  <sheetData>
    <row r="1" ht="30" customHeight="1" s="69">
      <c r="A1" s="178" t="inlineStr">
        <is>
          <t>《欢迎来龙餐馆》预售票房增长预测（V3 修正版）</t>
        </is>
      </c>
    </row>
    <row r="2">
      <c r="A2" s="185" t="inlineStr">
        <is>
          <t>基准: 23:01实测 = 565.5万 | 基于14组实测数据修正 | 数据来源: 猫眼专业版 | 更新: 2026-08-06 23:01</t>
        </is>
      </c>
    </row>
    <row r="4" ht="24" customHeight="1" s="69">
      <c r="A4" s="181" t="inlineStr">
        <is>
          <t>一、实测增速回算（14组数据，14:45-23:01）</t>
        </is>
      </c>
    </row>
    <row r="5">
      <c r="A5" s="186" t="inlineStr">
        <is>
          <t>时间段</t>
        </is>
      </c>
      <c r="B5" s="186" t="inlineStr">
        <is>
          <t>时长(min)</t>
        </is>
      </c>
      <c r="C5" s="186" t="inlineStr">
        <is>
          <t>增长(万)</t>
        </is>
      </c>
      <c r="D5" s="186" t="inlineStr">
        <is>
          <t>小时增速(万/h)</t>
        </is>
      </c>
      <c r="E5" s="186" t="inlineStr">
        <is>
          <t>时段归类</t>
        </is>
      </c>
      <c r="F5" s="186" t="inlineStr">
        <is>
          <t>备注</t>
        </is>
      </c>
    </row>
    <row r="6">
      <c r="A6" s="177" t="inlineStr">
        <is>
          <t>14:45-14:55</t>
        </is>
      </c>
      <c r="B6" s="177" t="n">
        <v>10</v>
      </c>
      <c r="C6" s="177" t="n">
        <v>11.5</v>
      </c>
      <c r="D6" s="177" t="n">
        <v>69</v>
      </c>
      <c r="E6" s="177" t="inlineStr">
        <is>
          <t>开售首波</t>
        </is>
      </c>
      <c r="F6" s="177" t="inlineStr">
        <is>
          <t>爆发期，预售刚开放</t>
        </is>
      </c>
    </row>
    <row r="7">
      <c r="A7" s="177" t="inlineStr">
        <is>
          <t>14:55-15:01</t>
        </is>
      </c>
      <c r="B7" s="177" t="n">
        <v>6</v>
      </c>
      <c r="C7" s="177" t="n">
        <v>8.4</v>
      </c>
      <c r="D7" s="177" t="n">
        <v>84</v>
      </c>
      <c r="E7" s="177" t="inlineStr">
        <is>
          <t>下午高峰</t>
        </is>
      </c>
      <c r="F7" s="177" t="inlineStr">
        <is>
          <t>开售高峰延续</t>
        </is>
      </c>
    </row>
    <row r="8">
      <c r="A8" s="180" t="inlineStr">
        <is>
          <t>15:01-15:03</t>
        </is>
      </c>
      <c r="B8" s="180" t="n">
        <v>2</v>
      </c>
      <c r="C8" s="180" t="n">
        <v>3.5</v>
      </c>
      <c r="D8" s="180" t="n">
        <v>105</v>
      </c>
      <c r="E8" s="180" t="inlineStr">
        <is>
          <t>短暂冲高</t>
        </is>
      </c>
      <c r="F8" s="180" t="inlineStr">
        <is>
          <t>极短时脉冲</t>
        </is>
      </c>
    </row>
    <row r="9">
      <c r="A9" s="177" t="inlineStr">
        <is>
          <t>15:03-16:53</t>
        </is>
      </c>
      <c r="B9" s="177" t="n">
        <v>110</v>
      </c>
      <c r="C9" s="177" t="n">
        <v>103.9</v>
      </c>
      <c r="D9" s="177" t="n">
        <v>56.7</v>
      </c>
      <c r="E9" s="177" t="inlineStr">
        <is>
          <t>下午平稳</t>
        </is>
      </c>
      <c r="F9" s="177" t="inlineStr">
        <is>
          <t>通勤时段稳定增长</t>
        </is>
      </c>
    </row>
    <row r="10">
      <c r="A10" s="177" t="inlineStr">
        <is>
          <t>16:53-17:37</t>
        </is>
      </c>
      <c r="B10" s="177" t="n">
        <v>44</v>
      </c>
      <c r="C10" s="177" t="n">
        <v>26.6</v>
      </c>
      <c r="D10" s="177" t="n">
        <v>36.3</v>
      </c>
      <c r="E10" s="177" t="inlineStr">
        <is>
          <t>傍晚过渡</t>
        </is>
      </c>
      <c r="F10" s="177" t="inlineStr">
        <is>
          <t>晚饭前回落</t>
        </is>
      </c>
    </row>
    <row r="11">
      <c r="A11" s="177" t="inlineStr">
        <is>
          <t>17:37-18:03</t>
        </is>
      </c>
      <c r="B11" s="177" t="n">
        <v>26</v>
      </c>
      <c r="C11" s="177" t="n">
        <v>18.9</v>
      </c>
      <c r="D11" s="177" t="n">
        <v>43.6</v>
      </c>
      <c r="E11" s="177" t="inlineStr">
        <is>
          <t>晚高峰前</t>
        </is>
      </c>
      <c r="F11" s="177" t="inlineStr">
        <is>
          <t>逐步回升</t>
        </is>
      </c>
    </row>
    <row r="12">
      <c r="A12" s="177" t="inlineStr">
        <is>
          <t>18:03-20:02</t>
        </is>
      </c>
      <c r="B12" s="177" t="n">
        <v>119</v>
      </c>
      <c r="C12" s="177" t="n">
        <v>81.09999999999999</v>
      </c>
      <c r="D12" s="177" t="n">
        <v>40.9</v>
      </c>
      <c r="E12" s="177" t="inlineStr">
        <is>
          <t>晚间平稳</t>
        </is>
      </c>
      <c r="F12" s="177" t="inlineStr">
        <is>
          <t>持续稳定增长</t>
        </is>
      </c>
    </row>
    <row r="13">
      <c r="A13" s="177" t="inlineStr">
        <is>
          <t>20:02-21:52</t>
        </is>
      </c>
      <c r="B13" s="177" t="n">
        <v>110</v>
      </c>
      <c r="C13" s="177" t="n">
        <v>63.6</v>
      </c>
      <c r="D13" s="177" t="n">
        <v>34.7</v>
      </c>
      <c r="E13" s="177" t="inlineStr">
        <is>
          <t>晚间回落</t>
        </is>
      </c>
      <c r="F13" s="177" t="inlineStr">
        <is>
          <t>增速逐步下降</t>
        </is>
      </c>
    </row>
    <row r="14">
      <c r="A14" s="177" t="inlineStr">
        <is>
          <t>21:52-22:02</t>
        </is>
      </c>
      <c r="B14" s="177" t="n">
        <v>10</v>
      </c>
      <c r="C14" s="177" t="n">
        <v>4.9</v>
      </c>
      <c r="D14" s="177" t="n">
        <v>29.4</v>
      </c>
      <c r="E14" s="177" t="inlineStr">
        <is>
          <t>深夜前低谷</t>
        </is>
      </c>
      <c r="F14" s="177" t="inlineStr">
        <is>
          <t>晚间最低速</t>
        </is>
      </c>
    </row>
    <row r="15">
      <c r="A15" s="177" t="inlineStr">
        <is>
          <t>22:02-22:30</t>
        </is>
      </c>
      <c r="B15" s="177" t="n">
        <v>28</v>
      </c>
      <c r="C15" s="177" t="n">
        <v>23</v>
      </c>
      <c r="D15" s="177" t="n">
        <v>49.3</v>
      </c>
      <c r="E15" s="177" t="inlineStr">
        <is>
          <t>夜间回升</t>
        </is>
      </c>
      <c r="F15" s="177" t="inlineStr">
        <is>
          <t>22点后小幅反弹</t>
        </is>
      </c>
    </row>
    <row r="16">
      <c r="A16" s="180" t="inlineStr">
        <is>
          <t>22:30-22:50</t>
        </is>
      </c>
      <c r="B16" s="180" t="n">
        <v>20</v>
      </c>
      <c r="C16" s="180" t="n">
        <v>29.6</v>
      </c>
      <c r="D16" s="180" t="n">
        <v>88.8</v>
      </c>
      <c r="E16" s="180" t="inlineStr">
        <is>
          <t>夜间脉冲</t>
        </is>
      </c>
      <c r="F16" s="180" t="inlineStr">
        <is>
          <t>疑似集中下单(异常高)</t>
        </is>
      </c>
    </row>
    <row r="17">
      <c r="A17" s="177" t="inlineStr">
        <is>
          <t>22:50-23:01</t>
        </is>
      </c>
      <c r="B17" s="177" t="n">
        <v>11</v>
      </c>
      <c r="C17" s="177" t="n">
        <v>10.2</v>
      </c>
      <c r="D17" s="177" t="n">
        <v>55.6</v>
      </c>
      <c r="E17" s="177" t="inlineStr">
        <is>
          <t>深夜收尾</t>
        </is>
      </c>
      <c r="F17" s="177" t="inlineStr">
        <is>
          <t>脉冲后回落</t>
        </is>
      </c>
    </row>
    <row r="18">
      <c r="A18" s="187" t="inlineStr">
        <is>
          <t>排除首波+脉冲后均值</t>
        </is>
      </c>
      <c r="B18" s="187" t="inlineStr">
        <is>
          <t>8组稳态均值</t>
        </is>
      </c>
      <c r="C18" s="151" t="n"/>
      <c r="D18" s="187" t="n">
        <v>43.3</v>
      </c>
      <c r="E18" s="187" t="inlineStr">
        <is>
          <t>晚间均值42.0万/h | 白天均值45.5万/h</t>
        </is>
      </c>
      <c r="F18" s="151" t="n"/>
    </row>
    <row r="20" ht="24" customHeight="1" s="69">
      <c r="A20" s="181" t="inlineStr">
        <is>
          <t>二、V3模型参数（基于14组实测数据修正）</t>
        </is>
      </c>
    </row>
    <row r="21">
      <c r="A21" s="186" t="inlineStr">
        <is>
          <t>参数</t>
        </is>
      </c>
      <c r="B21" s="186" t="inlineStr">
        <is>
          <t>V2旧值</t>
        </is>
      </c>
      <c r="C21" s="186" t="inlineStr">
        <is>
          <t>V3修正值</t>
        </is>
      </c>
      <c r="D21" s="186" t="inlineStr">
        <is>
          <t>修正依据</t>
        </is>
      </c>
      <c r="E21" s="150" t="n"/>
      <c r="F21" s="151" t="n"/>
    </row>
    <row r="22">
      <c r="A22" s="187" t="inlineStr">
        <is>
          <t>基准增速(万/h)</t>
        </is>
      </c>
      <c r="B22" s="187" t="n">
        <v>58.2</v>
      </c>
      <c r="C22" s="187" t="n">
        <v>43.3</v>
      </c>
      <c r="D22" s="189" t="inlineStr">
        <is>
          <t>8组稳态实测均值(排除首波3组+脉冲1组)，较V2大幅下调</t>
        </is>
      </c>
      <c r="E22" s="150" t="n"/>
      <c r="F22" s="151" t="n"/>
    </row>
    <row r="23">
      <c r="A23" s="187" t="inlineStr">
        <is>
          <t>晚间系数(18-23时)</t>
        </is>
      </c>
      <c r="B23" s="187" t="n">
        <v>1</v>
      </c>
      <c r="C23" s="187" t="n">
        <v>0.97</v>
      </c>
      <c r="D23" s="189" t="inlineStr">
        <is>
          <t>晚间均值42.0/基准43.3，晚间略低于白天</t>
        </is>
      </c>
      <c r="E23" s="150" t="n"/>
      <c r="F23" s="151" t="n"/>
    </row>
    <row r="24">
      <c r="A24" s="187" t="inlineStr">
        <is>
          <t>深夜系数(23-01时)</t>
        </is>
      </c>
      <c r="B24" s="187" t="n">
        <v>0.7</v>
      </c>
      <c r="C24" s="187" t="n">
        <v>0.55</v>
      </c>
      <c r="D24" s="189" t="inlineStr">
        <is>
          <t>23点后增速明显回落，参照21:52-22:02的29.4万/h</t>
        </is>
      </c>
      <c r="E24" s="150" t="n"/>
      <c r="F24" s="151" t="n"/>
    </row>
    <row r="25">
      <c r="A25" s="187" t="inlineStr">
        <is>
          <t>凌晨系数(01-06时)</t>
        </is>
      </c>
      <c r="B25" s="187" t="n">
        <v>0.12</v>
      </c>
      <c r="C25" s="187" t="n">
        <v>0.1</v>
      </c>
      <c r="D25" s="189" t="inlineStr">
        <is>
          <t>深夜购票几乎停滞</t>
        </is>
      </c>
      <c r="E25" s="150" t="n"/>
      <c r="F25" s="151" t="n"/>
    </row>
    <row r="26">
      <c r="A26" s="187" t="inlineStr">
        <is>
          <t>早晨系数(06-10时)</t>
        </is>
      </c>
      <c r="B26" s="187" t="n">
        <v>0.3</v>
      </c>
      <c r="C26" s="187" t="n">
        <v>0.25</v>
      </c>
      <c r="D26" s="189" t="inlineStr">
        <is>
          <t>少量恢复</t>
        </is>
      </c>
      <c r="E26" s="150" t="n"/>
      <c r="F26" s="151" t="n"/>
    </row>
    <row r="27">
      <c r="A27" s="187" t="inlineStr">
        <is>
          <t>上午系数(10-12时)</t>
        </is>
      </c>
      <c r="B27" s="187" t="n">
        <v>0.5</v>
      </c>
      <c r="C27" s="187" t="n">
        <v>0.45</v>
      </c>
      <c r="D27" s="189" t="inlineStr">
        <is>
          <t>平稳低速</t>
        </is>
      </c>
      <c r="E27" s="150" t="n"/>
      <c r="F27" s="151" t="n"/>
    </row>
    <row r="28">
      <c r="A28" s="187" t="inlineStr">
        <is>
          <t>午间系数(12-14时)</t>
        </is>
      </c>
      <c r="B28" s="187" t="n">
        <v>0.65</v>
      </c>
      <c r="C28" s="187" t="n">
        <v>0.55</v>
      </c>
      <c r="D28" s="189" t="inlineStr">
        <is>
          <t>午间小幅回升</t>
        </is>
      </c>
      <c r="E28" s="150" t="n"/>
      <c r="F28" s="151" t="n"/>
    </row>
    <row r="29">
      <c r="A29" s="187" t="inlineStr">
        <is>
          <t>下午系数(14-18时)</t>
        </is>
      </c>
      <c r="B29" s="187" t="n">
        <v>0.75</v>
      </c>
      <c r="C29" s="187" t="n">
        <v>0.75</v>
      </c>
      <c r="D29" s="189" t="inlineStr">
        <is>
          <t>下午增速回升，保持不变</t>
        </is>
      </c>
      <c r="E29" s="150" t="n"/>
      <c r="F29" s="151" t="n"/>
    </row>
    <row r="30">
      <c r="A30" s="187" t="inlineStr">
        <is>
          <t>映前5天日期系数(8/6)</t>
        </is>
      </c>
      <c r="B30" s="187" t="n">
        <v>0.8</v>
      </c>
      <c r="C30" s="187" t="n">
        <v>1</v>
      </c>
      <c r="D30" s="189" t="inlineStr">
        <is>
          <t>作为基准日=1.0，其他日期相对调整</t>
        </is>
      </c>
      <c r="E30" s="150" t="n"/>
      <c r="F30" s="151" t="n"/>
    </row>
    <row r="31">
      <c r="A31" s="187" t="inlineStr">
        <is>
          <t>映前4天日期系数(8/7)</t>
        </is>
      </c>
      <c r="B31" s="187" t="n">
        <v>1.2</v>
      </c>
      <c r="C31" s="187" t="n">
        <v>1.15</v>
      </c>
      <c r="D31" s="189" t="inlineStr">
        <is>
          <t>宣发发酵，但想看基数低(2.5万)，适度上调</t>
        </is>
      </c>
      <c r="E31" s="150" t="n"/>
      <c r="F31" s="151" t="n"/>
    </row>
    <row r="32">
      <c r="A32" s="187" t="inlineStr">
        <is>
          <t>映前3天日期系数(8/8)</t>
        </is>
      </c>
      <c r="B32" s="187" t="n">
        <v>1.5</v>
      </c>
      <c r="C32" s="187" t="n">
        <v>1.35</v>
      </c>
      <c r="D32" s="189" t="inlineStr">
        <is>
          <t>点映前半天，预期温和增长</t>
        </is>
      </c>
      <c r="E32" s="150" t="n"/>
      <c r="F32" s="151" t="n"/>
    </row>
    <row r="33">
      <c r="A33" s="187" t="inlineStr">
        <is>
          <t>点映系数(8/8 14:00+)</t>
        </is>
      </c>
      <c r="B33" s="187" t="n">
        <v>3</v>
      </c>
      <c r="C33" s="187" t="n">
        <v>2.5</v>
      </c>
      <c r="D33" s="189" t="inlineStr">
        <is>
          <t>点映票房计入，但想看基数偏低</t>
        </is>
      </c>
      <c r="E33" s="150" t="n"/>
      <c r="F33" s="151" t="n"/>
    </row>
    <row r="35" ht="24" customHeight="1" s="69">
      <c r="A35" s="181" t="inlineStr">
        <is>
          <t>三、逐小时预测（8月6日23:00 - 8月8日14:00点映开始）</t>
        </is>
      </c>
    </row>
    <row r="36">
      <c r="A36" s="186" t="inlineStr">
        <is>
          <t>时间</t>
        </is>
      </c>
      <c r="B36" s="186" t="inlineStr">
        <is>
          <t>星期</t>
        </is>
      </c>
      <c r="C36" s="186" t="inlineStr">
        <is>
          <t>预测增速(万/h)</t>
        </is>
      </c>
      <c r="D36" s="186" t="inlineStr">
        <is>
          <t>预测累计(万)</t>
        </is>
      </c>
      <c r="E36" s="186" t="inlineStr">
        <is>
          <t>时段说明</t>
        </is>
      </c>
      <c r="F36" s="186" t="inlineStr">
        <is>
          <t>置信度</t>
        </is>
      </c>
    </row>
    <row r="37">
      <c r="A37" s="190" t="inlineStr">
        <is>
          <t>08-06 23:00</t>
        </is>
      </c>
      <c r="B37" s="190" t="inlineStr">
        <is>
          <t>周四</t>
        </is>
      </c>
      <c r="C37" s="190" t="inlineStr">
        <is>
          <t>—（实际值）</t>
        </is>
      </c>
      <c r="D37" s="190" t="n">
        <v>565.5</v>
      </c>
      <c r="E37" s="190" t="inlineStr">
        <is>
          <t>映前5天·实测基准</t>
        </is>
      </c>
      <c r="F37" s="190" t="inlineStr">
        <is>
          <t>实际</t>
        </is>
      </c>
    </row>
    <row r="38">
      <c r="A38" s="177" t="inlineStr">
        <is>
          <t>08-07 00:00</t>
        </is>
      </c>
      <c r="B38" s="177" t="inlineStr">
        <is>
          <t>周五</t>
        </is>
      </c>
      <c r="C38" s="177" t="n">
        <v>23.8</v>
      </c>
      <c r="D38" s="177" t="n">
        <v>589.3</v>
      </c>
      <c r="E38" s="177" t="inlineStr">
        <is>
          <t>映前4天·深夜回落</t>
        </is>
      </c>
      <c r="F38" s="177" t="inlineStr">
        <is>
          <t>中</t>
        </is>
      </c>
    </row>
    <row r="39">
      <c r="A39" s="177" t="inlineStr">
        <is>
          <t>08-07 01:00</t>
        </is>
      </c>
      <c r="B39" s="177" t="inlineStr">
        <is>
          <t>周五</t>
        </is>
      </c>
      <c r="C39" s="177" t="n">
        <v>27.4</v>
      </c>
      <c r="D39" s="177" t="n">
        <v>616.7</v>
      </c>
      <c r="E39" s="177" t="inlineStr">
        <is>
          <t>映前4天·凌晨低谷</t>
        </is>
      </c>
      <c r="F39" s="177" t="inlineStr">
        <is>
          <t>中</t>
        </is>
      </c>
    </row>
    <row r="40">
      <c r="A40" s="177" t="inlineStr">
        <is>
          <t>08-07 02:00</t>
        </is>
      </c>
      <c r="B40" s="177" t="inlineStr">
        <is>
          <t>周五</t>
        </is>
      </c>
      <c r="C40" s="177" t="n">
        <v>5</v>
      </c>
      <c r="D40" s="177" t="n">
        <v>621.7</v>
      </c>
      <c r="E40" s="177" t="inlineStr">
        <is>
          <t>映前4天·凌晨低谷</t>
        </is>
      </c>
      <c r="F40" s="177" t="inlineStr">
        <is>
          <t>中</t>
        </is>
      </c>
    </row>
    <row r="41">
      <c r="A41" s="177" t="inlineStr">
        <is>
          <t>08-07 03:00</t>
        </is>
      </c>
      <c r="B41" s="177" t="inlineStr">
        <is>
          <t>周五</t>
        </is>
      </c>
      <c r="C41" s="177" t="n">
        <v>5</v>
      </c>
      <c r="D41" s="177" t="n">
        <v>626.7</v>
      </c>
      <c r="E41" s="177" t="inlineStr">
        <is>
          <t>映前4天·凌晨低谷</t>
        </is>
      </c>
      <c r="F41" s="177" t="inlineStr">
        <is>
          <t>中</t>
        </is>
      </c>
    </row>
    <row r="42">
      <c r="A42" s="177" t="inlineStr">
        <is>
          <t>08-07 04:00</t>
        </is>
      </c>
      <c r="B42" s="177" t="inlineStr">
        <is>
          <t>周五</t>
        </is>
      </c>
      <c r="C42" s="177" t="n">
        <v>5</v>
      </c>
      <c r="D42" s="177" t="n">
        <v>631.6</v>
      </c>
      <c r="E42" s="177" t="inlineStr">
        <is>
          <t>映前4天·凌晨低谷</t>
        </is>
      </c>
      <c r="F42" s="177" t="inlineStr">
        <is>
          <t>中</t>
        </is>
      </c>
    </row>
    <row r="43">
      <c r="A43" s="177" t="inlineStr">
        <is>
          <t>08-07 05:00</t>
        </is>
      </c>
      <c r="B43" s="177" t="inlineStr">
        <is>
          <t>周五</t>
        </is>
      </c>
      <c r="C43" s="177" t="n">
        <v>5</v>
      </c>
      <c r="D43" s="177" t="n">
        <v>636.6</v>
      </c>
      <c r="E43" s="177" t="inlineStr">
        <is>
          <t>映前4天·凌晨低谷</t>
        </is>
      </c>
      <c r="F43" s="177" t="inlineStr">
        <is>
          <t>中</t>
        </is>
      </c>
    </row>
    <row r="44">
      <c r="A44" s="177" t="inlineStr">
        <is>
          <t>08-07 06:00</t>
        </is>
      </c>
      <c r="B44" s="177" t="inlineStr">
        <is>
          <t>周五</t>
        </is>
      </c>
      <c r="C44" s="177" t="n">
        <v>5</v>
      </c>
      <c r="D44" s="177" t="n">
        <v>641.6</v>
      </c>
      <c r="E44" s="177" t="inlineStr">
        <is>
          <t>映前4天·早晨恢复</t>
        </is>
      </c>
      <c r="F44" s="177" t="inlineStr">
        <is>
          <t>中</t>
        </is>
      </c>
    </row>
    <row r="45">
      <c r="A45" s="177" t="inlineStr">
        <is>
          <t>08-07 07:00</t>
        </is>
      </c>
      <c r="B45" s="177" t="inlineStr">
        <is>
          <t>周五</t>
        </is>
      </c>
      <c r="C45" s="177" t="n">
        <v>12.4</v>
      </c>
      <c r="D45" s="177" t="n">
        <v>654</v>
      </c>
      <c r="E45" s="177" t="inlineStr">
        <is>
          <t>映前4天·早晨恢复</t>
        </is>
      </c>
      <c r="F45" s="177" t="inlineStr">
        <is>
          <t>中</t>
        </is>
      </c>
    </row>
    <row r="46">
      <c r="A46" s="177" t="inlineStr">
        <is>
          <t>08-07 08:00</t>
        </is>
      </c>
      <c r="B46" s="177" t="inlineStr">
        <is>
          <t>周五</t>
        </is>
      </c>
      <c r="C46" s="177" t="n">
        <v>12.4</v>
      </c>
      <c r="D46" s="177" t="n">
        <v>666.5</v>
      </c>
      <c r="E46" s="177" t="inlineStr">
        <is>
          <t>映前4天·早晨恢复</t>
        </is>
      </c>
      <c r="F46" s="177" t="inlineStr">
        <is>
          <t>中</t>
        </is>
      </c>
    </row>
    <row r="47">
      <c r="A47" s="177" t="inlineStr">
        <is>
          <t>08-07 09:00</t>
        </is>
      </c>
      <c r="B47" s="177" t="inlineStr">
        <is>
          <t>周五</t>
        </is>
      </c>
      <c r="C47" s="177" t="n">
        <v>12.4</v>
      </c>
      <c r="D47" s="177" t="n">
        <v>678.9</v>
      </c>
      <c r="E47" s="177" t="inlineStr">
        <is>
          <t>映前4天·早晨恢复</t>
        </is>
      </c>
      <c r="F47" s="177" t="inlineStr">
        <is>
          <t>中</t>
        </is>
      </c>
    </row>
    <row r="48">
      <c r="A48" s="177" t="inlineStr">
        <is>
          <t>08-07 10:00</t>
        </is>
      </c>
      <c r="B48" s="177" t="inlineStr">
        <is>
          <t>周五</t>
        </is>
      </c>
      <c r="C48" s="177" t="n">
        <v>12.4</v>
      </c>
      <c r="D48" s="177" t="n">
        <v>691.4</v>
      </c>
      <c r="E48" s="177" t="inlineStr">
        <is>
          <t>映前4天·上午平稳</t>
        </is>
      </c>
      <c r="F48" s="177" t="inlineStr">
        <is>
          <t>中</t>
        </is>
      </c>
    </row>
    <row r="49">
      <c r="A49" s="177" t="inlineStr">
        <is>
          <t>08-07 11:00</t>
        </is>
      </c>
      <c r="B49" s="177" t="inlineStr">
        <is>
          <t>周五</t>
        </is>
      </c>
      <c r="C49" s="177" t="n">
        <v>22.4</v>
      </c>
      <c r="D49" s="177" t="n">
        <v>713.8</v>
      </c>
      <c r="E49" s="177" t="inlineStr">
        <is>
          <t>映前4天·上午平稳</t>
        </is>
      </c>
      <c r="F49" s="177" t="inlineStr">
        <is>
          <t>中</t>
        </is>
      </c>
    </row>
    <row r="50">
      <c r="A50" s="177" t="inlineStr">
        <is>
          <t>08-07 12:00</t>
        </is>
      </c>
      <c r="B50" s="177" t="inlineStr">
        <is>
          <t>周五</t>
        </is>
      </c>
      <c r="C50" s="177" t="n">
        <v>22.4</v>
      </c>
      <c r="D50" s="177" t="n">
        <v>736.2</v>
      </c>
      <c r="E50" s="177" t="inlineStr">
        <is>
          <t>映前4天·午间小高峰</t>
        </is>
      </c>
      <c r="F50" s="177" t="inlineStr">
        <is>
          <t>中</t>
        </is>
      </c>
    </row>
    <row r="51">
      <c r="A51" s="177" t="inlineStr">
        <is>
          <t>08-07 13:00</t>
        </is>
      </c>
      <c r="B51" s="177" t="inlineStr">
        <is>
          <t>周五</t>
        </is>
      </c>
      <c r="C51" s="177" t="n">
        <v>27.4</v>
      </c>
      <c r="D51" s="177" t="n">
        <v>763.6</v>
      </c>
      <c r="E51" s="177" t="inlineStr">
        <is>
          <t>映前4天·午间小高峰</t>
        </is>
      </c>
      <c r="F51" s="177" t="inlineStr">
        <is>
          <t>中</t>
        </is>
      </c>
    </row>
    <row r="52">
      <c r="A52" s="177" t="inlineStr">
        <is>
          <t>08-07 14:00</t>
        </is>
      </c>
      <c r="B52" s="177" t="inlineStr">
        <is>
          <t>周五</t>
        </is>
      </c>
      <c r="C52" s="177" t="n">
        <v>27.4</v>
      </c>
      <c r="D52" s="177" t="n">
        <v>791</v>
      </c>
      <c r="E52" s="177" t="inlineStr">
        <is>
          <t>映前4天·下午增长</t>
        </is>
      </c>
      <c r="F52" s="177" t="inlineStr">
        <is>
          <t>中</t>
        </is>
      </c>
    </row>
    <row r="53">
      <c r="A53" s="177" t="inlineStr">
        <is>
          <t>08-07 15:00</t>
        </is>
      </c>
      <c r="B53" s="177" t="inlineStr">
        <is>
          <t>周五</t>
        </is>
      </c>
      <c r="C53" s="177" t="n">
        <v>37.3</v>
      </c>
      <c r="D53" s="177" t="n">
        <v>828.3</v>
      </c>
      <c r="E53" s="177" t="inlineStr">
        <is>
          <t>映前4天·下午增长</t>
        </is>
      </c>
      <c r="F53" s="177" t="inlineStr">
        <is>
          <t>中</t>
        </is>
      </c>
    </row>
    <row r="54">
      <c r="A54" s="177" t="inlineStr">
        <is>
          <t>08-07 16:00</t>
        </is>
      </c>
      <c r="B54" s="177" t="inlineStr">
        <is>
          <t>周五</t>
        </is>
      </c>
      <c r="C54" s="177" t="n">
        <v>37.3</v>
      </c>
      <c r="D54" s="177" t="n">
        <v>865.7</v>
      </c>
      <c r="E54" s="177" t="inlineStr">
        <is>
          <t>映前4天·下午增长</t>
        </is>
      </c>
      <c r="F54" s="177" t="inlineStr">
        <is>
          <t>中</t>
        </is>
      </c>
    </row>
    <row r="55">
      <c r="A55" s="177" t="inlineStr">
        <is>
          <t>08-07 17:00</t>
        </is>
      </c>
      <c r="B55" s="177" t="inlineStr">
        <is>
          <t>周五</t>
        </is>
      </c>
      <c r="C55" s="177" t="n">
        <v>37.3</v>
      </c>
      <c r="D55" s="177" t="n">
        <v>903</v>
      </c>
      <c r="E55" s="177" t="inlineStr">
        <is>
          <t>映前4天·下午增长</t>
        </is>
      </c>
      <c r="F55" s="177" t="inlineStr">
        <is>
          <t>中</t>
        </is>
      </c>
    </row>
    <row r="56">
      <c r="A56" s="177" t="inlineStr">
        <is>
          <t>08-07 18:00</t>
        </is>
      </c>
      <c r="B56" s="177" t="inlineStr">
        <is>
          <t>周五</t>
        </is>
      </c>
      <c r="C56" s="177" t="n">
        <v>37.3</v>
      </c>
      <c r="D56" s="177" t="n">
        <v>940.4</v>
      </c>
      <c r="E56" s="177" t="inlineStr">
        <is>
          <t>映前4天·晚间增长</t>
        </is>
      </c>
      <c r="F56" s="177" t="inlineStr">
        <is>
          <t>中</t>
        </is>
      </c>
    </row>
    <row r="57">
      <c r="A57" s="177" t="inlineStr">
        <is>
          <t>08-07 19:00</t>
        </is>
      </c>
      <c r="B57" s="177" t="inlineStr">
        <is>
          <t>周五</t>
        </is>
      </c>
      <c r="C57" s="177" t="n">
        <v>48.3</v>
      </c>
      <c r="D57" s="177" t="n">
        <v>988.7</v>
      </c>
      <c r="E57" s="177" t="inlineStr">
        <is>
          <t>映前4天·晚间增长</t>
        </is>
      </c>
      <c r="F57" s="177" t="inlineStr">
        <is>
          <t>中</t>
        </is>
      </c>
    </row>
    <row r="58">
      <c r="A58" s="177" t="inlineStr">
        <is>
          <t>08-07 20:00</t>
        </is>
      </c>
      <c r="B58" s="177" t="inlineStr">
        <is>
          <t>周五</t>
        </is>
      </c>
      <c r="C58" s="177" t="n">
        <v>48.3</v>
      </c>
      <c r="D58" s="177" t="n">
        <v>1037</v>
      </c>
      <c r="E58" s="177" t="inlineStr">
        <is>
          <t>映前4天·晚间增长</t>
        </is>
      </c>
      <c r="F58" s="177" t="inlineStr">
        <is>
          <t>中</t>
        </is>
      </c>
    </row>
    <row r="59">
      <c r="A59" s="177" t="inlineStr">
        <is>
          <t>08-07 21:00</t>
        </is>
      </c>
      <c r="B59" s="177" t="inlineStr">
        <is>
          <t>周五</t>
        </is>
      </c>
      <c r="C59" s="177" t="n">
        <v>48.3</v>
      </c>
      <c r="D59" s="177" t="n">
        <v>1085.3</v>
      </c>
      <c r="E59" s="177" t="inlineStr">
        <is>
          <t>映前4天·晚间增长</t>
        </is>
      </c>
      <c r="F59" s="177" t="inlineStr">
        <is>
          <t>中</t>
        </is>
      </c>
    </row>
    <row r="60">
      <c r="A60" s="177" t="inlineStr">
        <is>
          <t>08-07 22:00</t>
        </is>
      </c>
      <c r="B60" s="177" t="inlineStr">
        <is>
          <t>周五</t>
        </is>
      </c>
      <c r="C60" s="177" t="n">
        <v>48.3</v>
      </c>
      <c r="D60" s="177" t="n">
        <v>1133.6</v>
      </c>
      <c r="E60" s="177" t="inlineStr">
        <is>
          <t>映前4天·晚间增长</t>
        </is>
      </c>
      <c r="F60" s="177" t="inlineStr">
        <is>
          <t>中</t>
        </is>
      </c>
    </row>
    <row r="61">
      <c r="A61" s="177" t="inlineStr">
        <is>
          <t>08-07 23:00</t>
        </is>
      </c>
      <c r="B61" s="177" t="inlineStr">
        <is>
          <t>周五</t>
        </is>
      </c>
      <c r="C61" s="177" t="n">
        <v>48.3</v>
      </c>
      <c r="D61" s="177" t="n">
        <v>1181.9</v>
      </c>
      <c r="E61" s="177" t="inlineStr">
        <is>
          <t>映前4天·深夜回落</t>
        </is>
      </c>
      <c r="F61" s="177" t="inlineStr">
        <is>
          <t>中</t>
        </is>
      </c>
    </row>
    <row r="62">
      <c r="A62" s="177" t="inlineStr">
        <is>
          <t>08-08 00:00</t>
        </is>
      </c>
      <c r="B62" s="177" t="inlineStr">
        <is>
          <t>周六</t>
        </is>
      </c>
      <c r="C62" s="177" t="n">
        <v>27.4</v>
      </c>
      <c r="D62" s="177" t="n">
        <v>1209.3</v>
      </c>
      <c r="E62" s="177" t="inlineStr">
        <is>
          <t>映前3天·深夜回落</t>
        </is>
      </c>
      <c r="F62" s="177" t="inlineStr">
        <is>
          <t>中低</t>
        </is>
      </c>
    </row>
    <row r="63">
      <c r="A63" s="177" t="inlineStr">
        <is>
          <t>08-08 01:00</t>
        </is>
      </c>
      <c r="B63" s="177" t="inlineStr">
        <is>
          <t>周六</t>
        </is>
      </c>
      <c r="C63" s="177" t="n">
        <v>32.2</v>
      </c>
      <c r="D63" s="177" t="n">
        <v>1241.4</v>
      </c>
      <c r="E63" s="177" t="inlineStr">
        <is>
          <t>映前3天·凌晨低谷</t>
        </is>
      </c>
      <c r="F63" s="177" t="inlineStr">
        <is>
          <t>中低</t>
        </is>
      </c>
    </row>
    <row r="64">
      <c r="A64" s="177" t="inlineStr">
        <is>
          <t>08-08 02:00</t>
        </is>
      </c>
      <c r="B64" s="177" t="inlineStr">
        <is>
          <t>周六</t>
        </is>
      </c>
      <c r="C64" s="177" t="n">
        <v>5.8</v>
      </c>
      <c r="D64" s="177" t="n">
        <v>1247.3</v>
      </c>
      <c r="E64" s="177" t="inlineStr">
        <is>
          <t>映前3天·凌晨低谷</t>
        </is>
      </c>
      <c r="F64" s="177" t="inlineStr">
        <is>
          <t>中低</t>
        </is>
      </c>
    </row>
    <row r="65">
      <c r="A65" s="177" t="inlineStr">
        <is>
          <t>08-08 03:00</t>
        </is>
      </c>
      <c r="B65" s="177" t="inlineStr">
        <is>
          <t>周六</t>
        </is>
      </c>
      <c r="C65" s="177" t="n">
        <v>5.8</v>
      </c>
      <c r="D65" s="177" t="n">
        <v>1253.1</v>
      </c>
      <c r="E65" s="177" t="inlineStr">
        <is>
          <t>映前3天·凌晨低谷</t>
        </is>
      </c>
      <c r="F65" s="177" t="inlineStr">
        <is>
          <t>中低</t>
        </is>
      </c>
    </row>
    <row r="66">
      <c r="A66" s="177" t="inlineStr">
        <is>
          <t>08-08 04:00</t>
        </is>
      </c>
      <c r="B66" s="177" t="inlineStr">
        <is>
          <t>周六</t>
        </is>
      </c>
      <c r="C66" s="177" t="n">
        <v>5.8</v>
      </c>
      <c r="D66" s="177" t="n">
        <v>1258.9</v>
      </c>
      <c r="E66" s="177" t="inlineStr">
        <is>
          <t>映前3天·凌晨低谷</t>
        </is>
      </c>
      <c r="F66" s="177" t="inlineStr">
        <is>
          <t>中低</t>
        </is>
      </c>
    </row>
    <row r="67">
      <c r="A67" s="177" t="inlineStr">
        <is>
          <t>08-08 05:00</t>
        </is>
      </c>
      <c r="B67" s="177" t="inlineStr">
        <is>
          <t>周六</t>
        </is>
      </c>
      <c r="C67" s="177" t="n">
        <v>5.8</v>
      </c>
      <c r="D67" s="177" t="n">
        <v>1264.8</v>
      </c>
      <c r="E67" s="177" t="inlineStr">
        <is>
          <t>映前3天·凌晨低谷</t>
        </is>
      </c>
      <c r="F67" s="177" t="inlineStr">
        <is>
          <t>中低</t>
        </is>
      </c>
    </row>
    <row r="68">
      <c r="A68" s="177" t="inlineStr">
        <is>
          <t>08-08 06:00</t>
        </is>
      </c>
      <c r="B68" s="177" t="inlineStr">
        <is>
          <t>周六</t>
        </is>
      </c>
      <c r="C68" s="177" t="n">
        <v>5.8</v>
      </c>
      <c r="D68" s="177" t="n">
        <v>1270.6</v>
      </c>
      <c r="E68" s="177" t="inlineStr">
        <is>
          <t>映前3天·早晨恢复</t>
        </is>
      </c>
      <c r="F68" s="177" t="inlineStr">
        <is>
          <t>中低</t>
        </is>
      </c>
    </row>
    <row r="69">
      <c r="A69" s="177" t="inlineStr">
        <is>
          <t>08-08 07:00</t>
        </is>
      </c>
      <c r="B69" s="177" t="inlineStr">
        <is>
          <t>周六</t>
        </is>
      </c>
      <c r="C69" s="177" t="n">
        <v>14.6</v>
      </c>
      <c r="D69" s="177" t="n">
        <v>1285.3</v>
      </c>
      <c r="E69" s="177" t="inlineStr">
        <is>
          <t>映前3天·早晨恢复</t>
        </is>
      </c>
      <c r="F69" s="177" t="inlineStr">
        <is>
          <t>中低</t>
        </is>
      </c>
    </row>
    <row r="70">
      <c r="A70" s="177" t="inlineStr">
        <is>
          <t>08-08 08:00</t>
        </is>
      </c>
      <c r="B70" s="177" t="inlineStr">
        <is>
          <t>周六</t>
        </is>
      </c>
      <c r="C70" s="177" t="n">
        <v>14.6</v>
      </c>
      <c r="D70" s="177" t="n">
        <v>1299.9</v>
      </c>
      <c r="E70" s="177" t="inlineStr">
        <is>
          <t>映前3天·早晨恢复</t>
        </is>
      </c>
      <c r="F70" s="177" t="inlineStr">
        <is>
          <t>中低</t>
        </is>
      </c>
    </row>
    <row r="71">
      <c r="A71" s="177" t="inlineStr">
        <is>
          <t>08-08 09:00</t>
        </is>
      </c>
      <c r="B71" s="177" t="inlineStr">
        <is>
          <t>周六</t>
        </is>
      </c>
      <c r="C71" s="177" t="n">
        <v>14.6</v>
      </c>
      <c r="D71" s="177" t="n">
        <v>1314.5</v>
      </c>
      <c r="E71" s="177" t="inlineStr">
        <is>
          <t>映前3天·早晨恢复</t>
        </is>
      </c>
      <c r="F71" s="177" t="inlineStr">
        <is>
          <t>中低</t>
        </is>
      </c>
    </row>
    <row r="72">
      <c r="A72" s="177" t="inlineStr">
        <is>
          <t>08-08 10:00</t>
        </is>
      </c>
      <c r="B72" s="177" t="inlineStr">
        <is>
          <t>周六</t>
        </is>
      </c>
      <c r="C72" s="177" t="n">
        <v>14.6</v>
      </c>
      <c r="D72" s="177" t="n">
        <v>1329.1</v>
      </c>
      <c r="E72" s="177" t="inlineStr">
        <is>
          <t>映前3天·上午平稳</t>
        </is>
      </c>
      <c r="F72" s="177" t="inlineStr">
        <is>
          <t>中低</t>
        </is>
      </c>
    </row>
    <row r="73">
      <c r="A73" s="177" t="inlineStr">
        <is>
          <t>08-08 11:00</t>
        </is>
      </c>
      <c r="B73" s="177" t="inlineStr">
        <is>
          <t>周六</t>
        </is>
      </c>
      <c r="C73" s="177" t="n">
        <v>26.3</v>
      </c>
      <c r="D73" s="177" t="n">
        <v>1355.4</v>
      </c>
      <c r="E73" s="177" t="inlineStr">
        <is>
          <t>映前3天·上午平稳</t>
        </is>
      </c>
      <c r="F73" s="177" t="inlineStr">
        <is>
          <t>中低</t>
        </is>
      </c>
    </row>
    <row r="74">
      <c r="A74" s="177" t="inlineStr">
        <is>
          <t>08-08 12:00</t>
        </is>
      </c>
      <c r="B74" s="177" t="inlineStr">
        <is>
          <t>周六</t>
        </is>
      </c>
      <c r="C74" s="177" t="n">
        <v>26.3</v>
      </c>
      <c r="D74" s="177" t="n">
        <v>1381.7</v>
      </c>
      <c r="E74" s="177" t="inlineStr">
        <is>
          <t>映前3天·午间小高峰</t>
        </is>
      </c>
      <c r="F74" s="177" t="inlineStr">
        <is>
          <t>中低</t>
        </is>
      </c>
    </row>
    <row r="75">
      <c r="A75" s="177" t="inlineStr">
        <is>
          <t>08-08 13:00</t>
        </is>
      </c>
      <c r="B75" s="177" t="inlineStr">
        <is>
          <t>周六</t>
        </is>
      </c>
      <c r="C75" s="177" t="n">
        <v>32.2</v>
      </c>
      <c r="D75" s="177" t="n">
        <v>1413.9</v>
      </c>
      <c r="E75" s="177" t="inlineStr">
        <is>
          <t>映前3天·午间小高峰</t>
        </is>
      </c>
      <c r="F75" s="177" t="inlineStr">
        <is>
          <t>中低</t>
        </is>
      </c>
    </row>
    <row r="76">
      <c r="A76" s="180" t="inlineStr">
        <is>
          <t>08-08 14:00</t>
        </is>
      </c>
      <c r="B76" s="180" t="inlineStr">
        <is>
          <t>周六</t>
        </is>
      </c>
      <c r="C76" s="180" t="n">
        <v>32.2</v>
      </c>
      <c r="D76" s="180" t="n">
        <v>1446</v>
      </c>
      <c r="E76" s="180" t="inlineStr">
        <is>
          <t>点映开始·点映开始!!</t>
        </is>
      </c>
      <c r="F76" s="180" t="inlineStr">
        <is>
          <t>低</t>
        </is>
      </c>
    </row>
    <row r="78" ht="24" customHeight="1" s="69">
      <c r="A78" s="181" t="inlineStr">
        <is>
          <t>四、关键节点预测对比（V2 vs V3）</t>
        </is>
      </c>
    </row>
    <row r="79">
      <c r="A79" s="186" t="inlineStr">
        <is>
          <t>关键节点</t>
        </is>
      </c>
      <c r="B79" s="186" t="inlineStr">
        <is>
          <t>V2预测(万)</t>
        </is>
      </c>
      <c r="C79" s="186" t="inlineStr">
        <is>
          <t>V3预测(万)</t>
        </is>
      </c>
      <c r="D79" s="186" t="inlineStr">
        <is>
          <t>偏差(万)</t>
        </is>
      </c>
      <c r="E79" s="186" t="inlineStr">
        <is>
          <t>偏差率</t>
        </is>
      </c>
      <c r="F79" s="186" t="inlineStr">
        <is>
          <t>说明</t>
        </is>
      </c>
    </row>
    <row r="80">
      <c r="A80" s="177" t="inlineStr">
        <is>
          <t>8/6 23:00 深夜收尾</t>
        </is>
      </c>
      <c r="B80" s="177" t="n">
        <v>573.9</v>
      </c>
      <c r="C80" s="183" t="n">
        <v>565.5</v>
      </c>
      <c r="D80" s="191" t="n">
        <v>-8.4</v>
      </c>
      <c r="E80" s="177" t="inlineStr">
        <is>
          <t>-1.5%</t>
        </is>
      </c>
      <c r="F80" s="177" t="inlineStr">
        <is>
          <t>实际值565.5万，V3以此为准</t>
        </is>
      </c>
    </row>
    <row r="81">
      <c r="A81" s="177" t="inlineStr">
        <is>
          <t>8/7 08:00 映前4天早晨</t>
        </is>
      </c>
      <c r="B81" s="177" t="n">
        <v>727.5</v>
      </c>
      <c r="C81" s="183" t="n">
        <v>666.5</v>
      </c>
      <c r="D81" s="191" t="n">
        <v>-61</v>
      </c>
      <c r="E81" s="177" t="inlineStr">
        <is>
          <t>-8.4%</t>
        </is>
      </c>
      <c r="F81" s="177" t="inlineStr">
        <is>
          <t>V3基准下调，差距开始拉大</t>
        </is>
      </c>
    </row>
    <row r="82">
      <c r="A82" s="177" t="inlineStr">
        <is>
          <t>8/7 12:00 午间</t>
        </is>
      </c>
      <c r="B82" s="177" t="n">
        <v>863.7</v>
      </c>
      <c r="C82" s="183" t="n">
        <v>736.2</v>
      </c>
      <c r="D82" s="191" t="n">
        <v>-127.5</v>
      </c>
      <c r="E82" s="177" t="inlineStr">
        <is>
          <t>-14.8%</t>
        </is>
      </c>
      <c r="F82" s="177" t="inlineStr">
        <is>
          <t>V3显著低于V2</t>
        </is>
      </c>
    </row>
    <row r="83">
      <c r="A83" s="177" t="inlineStr">
        <is>
          <t>8/7 18:00 晚间高峰</t>
        </is>
      </c>
      <c r="B83" s="177" t="n">
        <v>1171</v>
      </c>
      <c r="C83" s="183" t="n">
        <v>940.4</v>
      </c>
      <c r="D83" s="191" t="n">
        <v>-230.6</v>
      </c>
      <c r="E83" s="177" t="inlineStr">
        <is>
          <t>-19.7%</t>
        </is>
      </c>
      <c r="F83" s="177" t="inlineStr">
        <is>
          <t>V3差距继续扩大</t>
        </is>
      </c>
    </row>
    <row r="84">
      <c r="A84" s="177" t="inlineStr">
        <is>
          <t>8/7 23:00 映前4天收尾</t>
        </is>
      </c>
      <c r="B84" s="177" t="n">
        <v>1478.3</v>
      </c>
      <c r="C84" s="183" t="n">
        <v>1181.9</v>
      </c>
      <c r="D84" s="191" t="n">
        <v>-296.4</v>
      </c>
      <c r="E84" s="177" t="inlineStr">
        <is>
          <t>-20.1%</t>
        </is>
      </c>
      <c r="F84" s="177" t="inlineStr">
        <is>
          <t>V3约低230万</t>
        </is>
      </c>
    </row>
    <row r="85">
      <c r="A85" s="177" t="inlineStr">
        <is>
          <t>8/8 08:00 点映日早晨</t>
        </is>
      </c>
      <c r="B85" s="177" t="n">
        <v>1670.4</v>
      </c>
      <c r="C85" s="183" t="n">
        <v>1299.9</v>
      </c>
      <c r="D85" s="191" t="n">
        <v>-370.5</v>
      </c>
      <c r="E85" s="177" t="inlineStr">
        <is>
          <t>-22.2%</t>
        </is>
      </c>
      <c r="F85" s="177" t="inlineStr">
        <is>
          <t>V3约低280万</t>
        </is>
      </c>
    </row>
    <row r="86">
      <c r="A86" s="177" t="inlineStr">
        <is>
          <t>8/8 14:00 点映开始!!</t>
        </is>
      </c>
      <c r="B86" s="177" t="n">
        <v>2071.9</v>
      </c>
      <c r="C86" s="183" t="n">
        <v>1446</v>
      </c>
      <c r="D86" s="191" t="n">
        <v>-625.9</v>
      </c>
      <c r="E86" s="177" t="inlineStr">
        <is>
          <t>-30.2%</t>
        </is>
      </c>
      <c r="F86" s="177" t="inlineStr">
        <is>
          <t>V3约低515万，最大变量</t>
        </is>
      </c>
    </row>
    <row r="88" ht="24" customHeight="1" s="69">
      <c r="A88" s="181" t="inlineStr">
        <is>
          <t>五、V3模型修正说明</t>
        </is>
      </c>
    </row>
    <row r="89" ht="20" customHeight="1" s="69">
      <c r="A89" s="192" t="inlineStr">
        <is>
          <t>• 基准增速大幅修正：V2的58.2万/h → V3的43.3万/h（8组稳态实测均值）</t>
        </is>
      </c>
    </row>
    <row r="90" ht="20" customHeight="1" s="69">
      <c r="A90" s="192" t="inlineStr">
        <is>
          <t>• V2高估原因：V2仅基于白天5组数据(14:45-18:03)，白天增速偏高；晚间18:03-23:01实测均值仅42.0万/h</t>
        </is>
      </c>
    </row>
    <row r="91" ht="20" customHeight="1" s="69">
      <c r="A91" s="192" t="inlineStr">
        <is>
          <t>• 晚间系数修正：V2的1.0 → V3的0.97（晚间实际略低于白天）</t>
        </is>
      </c>
    </row>
    <row r="92" ht="20" customHeight="1" s="69">
      <c r="A92" s="192" t="inlineStr">
        <is>
          <t>• 深夜系数修正：V2的0.7 → V3的0.55（21:52-22:02实测仅29.4万/h，远低于预期）</t>
        </is>
      </c>
    </row>
    <row r="93" ht="20" customHeight="1" s="69">
      <c r="A93" s="192" t="inlineStr">
        <is>
          <t>• 日期系数修正：映前4天1.2→1.15、映前3天1.5→1.35、点映3.0→2.5（想看基数低，增长空间有限）</t>
        </is>
      </c>
    </row>
    <row r="94" ht="20" customHeight="1" s="69">
      <c r="A94" s="192" t="inlineStr">
        <is>
          <t>• 实测vs预测验证：V2预测23:00=573.9万，实际565.5万，误差仅1.5%（V2单点尚可，但累积偏差放大）</t>
        </is>
      </c>
    </row>
    <row r="95" ht="20" customHeight="1" s="69">
      <c r="A95" s="192" t="inlineStr">
        <is>
          <t>• V3与V2关键节点偏差：8/8 14:00点映开始 V3比V2低约515万（-24.9%）</t>
        </is>
      </c>
    </row>
    <row r="96" ht="20" customHeight="1" s="69">
      <c r="A96" s="192" t="inlineStr">
        <is>
          <t>• 异常数据说明：22:30-22:50出现88.8万/h脉冲增速，疑似集中下单，已排除出基准计算</t>
        </is>
      </c>
    </row>
    <row r="97" ht="20" customHeight="1" s="69">
      <c r="A97" s="192" t="inlineStr">
        <is>
          <t>• 最大变量：8/8 14:00点映口碑，若口碑爆发增速可能远超预测；若平庸则更低</t>
        </is>
      </c>
    </row>
    <row r="98" ht="20" customHeight="1" s="69">
      <c r="A98" s="192" t="inlineStr">
        <is>
          <t>• 数据来源：猫眼专业版 | 预测基于14组实测数据(14:45-23:01)拟合，仅供参考</t>
        </is>
      </c>
    </row>
  </sheetData>
  <mergeCells count="32">
    <mergeCell ref="D27:F27"/>
    <mergeCell ref="A90:F90"/>
    <mergeCell ref="D32:F32"/>
    <mergeCell ref="A89:F89"/>
    <mergeCell ref="B18:C18"/>
    <mergeCell ref="A95:F95"/>
    <mergeCell ref="A2:F2"/>
    <mergeCell ref="D28:F28"/>
    <mergeCell ref="A78:F78"/>
    <mergeCell ref="A97:F97"/>
    <mergeCell ref="A35:F35"/>
    <mergeCell ref="A4:F4"/>
    <mergeCell ref="A20:F20"/>
    <mergeCell ref="D30:F30"/>
    <mergeCell ref="D25:F25"/>
    <mergeCell ref="A91:F91"/>
    <mergeCell ref="A96:F96"/>
    <mergeCell ref="D33:F33"/>
    <mergeCell ref="D24:F24"/>
    <mergeCell ref="D29:F29"/>
    <mergeCell ref="A93:F93"/>
    <mergeCell ref="D23:F23"/>
    <mergeCell ref="D26:F26"/>
    <mergeCell ref="A92:F92"/>
    <mergeCell ref="A98:F98"/>
    <mergeCell ref="D31:F31"/>
    <mergeCell ref="A1:F1"/>
    <mergeCell ref="A94:F94"/>
    <mergeCell ref="D22:F22"/>
    <mergeCell ref="A88:F88"/>
    <mergeCell ref="D21:F21"/>
    <mergeCell ref="E18:F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16" customWidth="1" style="68" min="1" max="1"/>
    <col width="14" customWidth="1" style="68" min="2" max="3"/>
    <col width="18" customWidth="1" style="68" min="4" max="4"/>
  </cols>
  <sheetData>
    <row r="1" ht="31.5" customHeight="1" s="69">
      <c r="A1" s="70" t="inlineStr">
        <is>
          <t>映前想看数据逐日明细</t>
        </is>
      </c>
    </row>
    <row r="2" ht="25.5" customHeight="1" s="69">
      <c r="A2" s="72" t="inlineStr">
        <is>
          <t>映前天数</t>
        </is>
      </c>
      <c r="B2" s="72" t="inlineStr">
        <is>
          <t>抓娃娃</t>
        </is>
      </c>
      <c r="C2" s="72" t="inlineStr">
        <is>
          <t>独行月球</t>
        </is>
      </c>
      <c r="D2" s="72" t="inlineStr">
        <is>
          <t>欢迎来龙餐馆</t>
        </is>
      </c>
    </row>
    <row r="3" ht="19.5" customHeight="1" s="69">
      <c r="A3" s="75" t="inlineStr">
        <is>
          <t>映前1天</t>
        </is>
      </c>
      <c r="B3" s="76" t="n">
        <v>17972</v>
      </c>
      <c r="C3" s="76" t="n">
        <v>46323</v>
      </c>
      <c r="D3" s="136" t="n"/>
    </row>
    <row r="4" ht="19.5" customHeight="1" s="69">
      <c r="A4" s="81" t="inlineStr">
        <is>
          <t>映前2天</t>
        </is>
      </c>
      <c r="B4" s="82" t="n">
        <v>24361</v>
      </c>
      <c r="C4" s="82" t="n">
        <v>37332</v>
      </c>
      <c r="D4" s="137" t="n"/>
    </row>
    <row r="5" ht="19.5" customHeight="1" s="69">
      <c r="A5" s="75" t="inlineStr">
        <is>
          <t>映前3天</t>
        </is>
      </c>
      <c r="B5" s="76" t="n">
        <v>24128</v>
      </c>
      <c r="C5" s="76" t="n">
        <v>23360</v>
      </c>
      <c r="D5" s="136" t="n"/>
    </row>
    <row r="6" ht="19.5" customHeight="1" s="69">
      <c r="A6" s="81" t="inlineStr">
        <is>
          <t>映前4天</t>
        </is>
      </c>
      <c r="B6" s="82" t="n">
        <v>15018</v>
      </c>
      <c r="C6" s="82" t="n">
        <v>22233</v>
      </c>
      <c r="D6" s="137" t="n"/>
    </row>
    <row r="7" ht="19.5" customHeight="1" s="69">
      <c r="A7" s="75" t="inlineStr">
        <is>
          <t>映前5天</t>
        </is>
      </c>
      <c r="B7" s="76" t="n">
        <v>12511</v>
      </c>
      <c r="C7" s="76" t="n">
        <v>19513</v>
      </c>
      <c r="D7" s="136" t="n"/>
    </row>
    <row r="8" ht="19.5" customHeight="1" s="69">
      <c r="A8" s="81" t="inlineStr">
        <is>
          <t>映前6天</t>
        </is>
      </c>
      <c r="B8" s="82" t="n">
        <v>14210</v>
      </c>
      <c r="C8" s="82" t="n">
        <v>18698</v>
      </c>
      <c r="D8" s="82" t="n">
        <v>24881</v>
      </c>
    </row>
    <row r="9" ht="19.5" customHeight="1" s="69">
      <c r="A9" s="75" t="inlineStr">
        <is>
          <t>映前7天</t>
        </is>
      </c>
      <c r="B9" s="76" t="n">
        <v>16021</v>
      </c>
      <c r="C9" s="76" t="n">
        <v>22717</v>
      </c>
      <c r="D9" s="136" t="n"/>
    </row>
    <row r="10" ht="19.5" customHeight="1" s="69">
      <c r="A10" s="81" t="inlineStr">
        <is>
          <t>映前8天</t>
        </is>
      </c>
      <c r="B10" s="82" t="n">
        <v>12887</v>
      </c>
      <c r="C10" s="82" t="n">
        <v>18102</v>
      </c>
      <c r="D10" s="137" t="n"/>
    </row>
    <row r="11" ht="19.5" customHeight="1" s="69">
      <c r="A11" s="75" t="inlineStr">
        <is>
          <t>映前9天</t>
        </is>
      </c>
      <c r="B11" s="136" t="n"/>
      <c r="C11" s="76" t="n">
        <v>36276</v>
      </c>
      <c r="D11" s="136" t="n"/>
    </row>
    <row r="12" ht="19.5" customHeight="1" s="69">
      <c r="A12" s="81" t="inlineStr">
        <is>
          <t>映前10天</t>
        </is>
      </c>
      <c r="B12" s="137" t="n"/>
      <c r="C12" s="82" t="n">
        <v>60466</v>
      </c>
      <c r="D12" s="137" t="n"/>
    </row>
    <row r="13" ht="21.75" customHeight="1" s="69">
      <c r="A13" s="138" t="inlineStr">
        <is>
          <t>抓娃娃合计</t>
        </is>
      </c>
      <c r="B13" s="139">
        <f>SUM(B3:B10)</f>
        <v/>
      </c>
    </row>
    <row r="14" ht="21.75" customHeight="1" s="69">
      <c r="A14" s="140" t="inlineStr">
        <is>
          <t>抓娃娃日均</t>
        </is>
      </c>
      <c r="B14" s="141">
        <f>AVERAGE(B3:B10)</f>
        <v/>
      </c>
    </row>
    <row r="15" ht="21.75" customHeight="1" s="69">
      <c r="A15" s="140" t="inlineStr">
        <is>
          <t>抓娃娃峰值</t>
        </is>
      </c>
      <c r="B15" s="141">
        <f>MAX(B3:B10)</f>
        <v/>
      </c>
    </row>
    <row r="16" ht="21.75" customHeight="1" s="69">
      <c r="A16" s="140" t="inlineStr">
        <is>
          <t>独行月球合计</t>
        </is>
      </c>
      <c r="C16" s="141">
        <f>SUM(C3:C12)</f>
        <v/>
      </c>
    </row>
    <row r="17" ht="21.75" customHeight="1" s="69">
      <c r="A17" s="140" t="inlineStr">
        <is>
          <t>独行月球日均</t>
        </is>
      </c>
      <c r="C17" s="141">
        <f>AVERAGE(C3:C12)</f>
        <v/>
      </c>
    </row>
    <row r="18" ht="21.75" customHeight="1" s="69">
      <c r="A18" s="140" t="inlineStr">
        <is>
          <t>独行月球峰值</t>
        </is>
      </c>
      <c r="C18" s="141">
        <f>MAX(C3:C12)</f>
        <v/>
      </c>
    </row>
    <row r="19" ht="21.75" customHeight="1" s="69">
      <c r="A19" s="140" t="inlineStr">
        <is>
          <t>来龙餐馆合计</t>
        </is>
      </c>
      <c r="D19" s="141">
        <f>SUM(D3:D8)</f>
        <v/>
      </c>
    </row>
    <row r="20" ht="21.75" customHeight="1" s="69">
      <c r="A20" s="140" t="inlineStr">
        <is>
          <t>来龙餐馆日均(有效)</t>
        </is>
      </c>
      <c r="D20" s="141">
        <f>D8</f>
        <v/>
      </c>
    </row>
    <row r="21" ht="21.75" customHeight="1" s="69">
      <c r="A21" s="140" t="inlineStr">
        <is>
          <t>来龙餐馆峰值</t>
        </is>
      </c>
      <c r="D21" s="141">
        <f>MAX(D3:D8)</f>
        <v/>
      </c>
    </row>
    <row r="23" ht="18" customHeight="1" s="69">
      <c r="A23" s="87" t="inlineStr">
        <is>
          <t>注：欢迎来龙餐馆映前1-5天暂无想看数据，仅映前6天有值(24881)；该片8月11日上映，数据持续更新中。</t>
        </is>
      </c>
    </row>
  </sheetData>
  <mergeCells count="2">
    <mergeCell ref="A1:D1"/>
    <mergeCell ref="A23:D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16" customWidth="1" style="68" min="1" max="1"/>
    <col width="12" customWidth="1" style="68" min="2" max="2"/>
    <col width="24" customWidth="1" style="68" min="3" max="3"/>
    <col width="16" customWidth="1" style="68" min="4" max="4"/>
    <col width="40" customWidth="1" style="68" min="5" max="5"/>
  </cols>
  <sheetData>
    <row r="1" ht="31.5" customHeight="1" s="69">
      <c r="A1" s="70" t="inlineStr">
        <is>
          <t>预售与票房关键节点数据</t>
        </is>
      </c>
    </row>
    <row r="2" ht="25.5" customHeight="1" s="69">
      <c r="A2" s="72" t="inlineStr">
        <is>
          <t>电影</t>
        </is>
      </c>
      <c r="B2" s="72" t="inlineStr">
        <is>
          <t>数据类型</t>
        </is>
      </c>
      <c r="C2" s="72" t="inlineStr">
        <is>
          <t>时间节点</t>
        </is>
      </c>
      <c r="D2" s="72" t="inlineStr">
        <is>
          <t>金额(元)</t>
        </is>
      </c>
      <c r="E2" s="72" t="inlineStr">
        <is>
          <t>说明</t>
        </is>
      </c>
    </row>
    <row r="3" ht="21.75" customHeight="1" s="69">
      <c r="A3" s="142" t="inlineStr">
        <is>
          <t>抓娃娃</t>
        </is>
      </c>
      <c r="B3" s="143" t="inlineStr">
        <is>
          <t>预售</t>
        </is>
      </c>
      <c r="C3" s="121" t="inlineStr">
        <is>
          <t>映前10天(07-06)</t>
        </is>
      </c>
      <c r="D3" s="77" t="n">
        <v>630000</v>
      </c>
      <c r="E3" s="144" t="inlineStr">
        <is>
          <t>当日新增63.0万</t>
        </is>
      </c>
    </row>
    <row r="4" ht="21.75" customHeight="1" s="69">
      <c r="A4" s="145" t="inlineStr">
        <is>
          <t>抓娃娃</t>
        </is>
      </c>
      <c r="B4" s="143" t="inlineStr">
        <is>
          <t>预售</t>
        </is>
      </c>
      <c r="C4" s="119" t="inlineStr">
        <is>
          <t>映前4天(07-12)</t>
        </is>
      </c>
      <c r="D4" s="83" t="n">
        <v>1720000</v>
      </c>
      <c r="E4" s="146" t="inlineStr">
        <is>
          <t>当日新增17.2万</t>
        </is>
      </c>
    </row>
    <row r="5" ht="21.75" customHeight="1" s="69">
      <c r="A5" s="142" t="inlineStr">
        <is>
          <t>抓娃娃</t>
        </is>
      </c>
      <c r="B5" s="143" t="inlineStr">
        <is>
          <t>预售</t>
        </is>
      </c>
      <c r="C5" s="121" t="inlineStr">
        <is>
          <t>映前3天(07-13)</t>
        </is>
      </c>
      <c r="D5" s="77" t="n">
        <v>3450000</v>
      </c>
      <c r="E5" s="144" t="inlineStr">
        <is>
          <t>当日新增34.5万，点映首日</t>
        </is>
      </c>
    </row>
    <row r="6" ht="21.75" customHeight="1" s="69">
      <c r="A6" s="145" t="inlineStr">
        <is>
          <t>抓娃娃</t>
        </is>
      </c>
      <c r="B6" s="143" t="inlineStr">
        <is>
          <t>预售</t>
        </is>
      </c>
      <c r="C6" s="119" t="inlineStr">
        <is>
          <t>映前2天(07-14)</t>
        </is>
      </c>
      <c r="D6" s="83" t="n">
        <v>15640000</v>
      </c>
      <c r="E6" s="146" t="inlineStr">
        <is>
          <t>当日新增156.4万</t>
        </is>
      </c>
    </row>
    <row r="7" ht="21.75" customHeight="1" s="69">
      <c r="A7" s="142" t="inlineStr">
        <is>
          <t>抓娃娃</t>
        </is>
      </c>
      <c r="B7" s="143" t="inlineStr">
        <is>
          <t>预售</t>
        </is>
      </c>
      <c r="C7" s="121" t="inlineStr">
        <is>
          <t>映前1天(07-15)</t>
        </is>
      </c>
      <c r="D7" s="78" t="n">
        <v>138260000</v>
      </c>
      <c r="E7" s="144" t="inlineStr">
        <is>
          <t>当日新增1382.6万，预售集中爆发</t>
        </is>
      </c>
    </row>
    <row r="8" ht="21.75" customHeight="1" s="69">
      <c r="A8" s="145" t="inlineStr">
        <is>
          <t>抓娃娃</t>
        </is>
      </c>
      <c r="B8" s="147" t="inlineStr">
        <is>
          <t>票房</t>
        </is>
      </c>
      <c r="C8" s="80" t="inlineStr">
        <is>
          <t>2024-07-13(点映首日)</t>
        </is>
      </c>
      <c r="D8" s="83" t="n">
        <v>156000000</v>
      </c>
      <c r="E8" s="146" t="inlineStr">
        <is>
          <t>点映首日单日票房约1.56亿</t>
        </is>
      </c>
    </row>
    <row r="9" ht="21.75" customHeight="1" s="69">
      <c r="A9" s="142" t="inlineStr">
        <is>
          <t>抓娃娃</t>
        </is>
      </c>
      <c r="B9" s="147" t="inlineStr">
        <is>
          <t>票房</t>
        </is>
      </c>
      <c r="C9" s="74" t="inlineStr">
        <is>
          <t>2024-07-16(上映首日)</t>
        </is>
      </c>
      <c r="D9" s="77" t="n">
        <v>650000000</v>
      </c>
      <c r="E9" s="144" t="inlineStr">
        <is>
          <t>正式上映首日票房6.5亿</t>
        </is>
      </c>
    </row>
    <row r="10" ht="21.75" customHeight="1" s="69">
      <c r="A10" s="145" t="inlineStr">
        <is>
          <t>抓娃娃</t>
        </is>
      </c>
      <c r="B10" s="147" t="inlineStr">
        <is>
          <t>票房</t>
        </is>
      </c>
      <c r="C10" s="80" t="inlineStr">
        <is>
          <t>2024-07-20(上映第4天)</t>
        </is>
      </c>
      <c r="D10" s="83" t="n">
        <v>1100000000</v>
      </c>
      <c r="E10" s="146" t="inlineStr">
        <is>
          <t>票房突破11亿</t>
        </is>
      </c>
    </row>
    <row r="11" ht="21.75" customHeight="1" s="69">
      <c r="A11" s="142" t="inlineStr">
        <is>
          <t>抓娃娃</t>
        </is>
      </c>
      <c r="B11" s="147" t="inlineStr">
        <is>
          <t>票房</t>
        </is>
      </c>
      <c r="C11" s="121" t="inlineStr">
        <is>
          <t>累计总票房</t>
        </is>
      </c>
      <c r="D11" s="78" t="n">
        <v>3300000000</v>
      </c>
      <c r="E11" s="144" t="inlineStr">
        <is>
          <t>累计票房超33亿，暑期档冠军</t>
        </is>
      </c>
    </row>
    <row r="12" ht="21.75" customHeight="1" s="69">
      <c r="A12" s="145" t="inlineStr">
        <is>
          <t>独行月球</t>
        </is>
      </c>
      <c r="B12" s="143" t="inlineStr">
        <is>
          <t>预售</t>
        </is>
      </c>
      <c r="C12" s="119" t="inlineStr">
        <is>
          <t>映前10天(07-19)</t>
        </is>
      </c>
      <c r="D12" s="83" t="n">
        <v>890000</v>
      </c>
      <c r="E12" s="146" t="inlineStr">
        <is>
          <t>当日新增8.9万</t>
        </is>
      </c>
    </row>
    <row r="13" ht="21.75" customHeight="1" s="69">
      <c r="A13" s="142" t="inlineStr">
        <is>
          <t>独行月球</t>
        </is>
      </c>
      <c r="B13" s="143" t="inlineStr">
        <is>
          <t>预售</t>
        </is>
      </c>
      <c r="C13" s="121" t="inlineStr">
        <is>
          <t>映前7天(07-22)</t>
        </is>
      </c>
      <c r="D13" s="77" t="n">
        <v>2582000</v>
      </c>
      <c r="E13" s="144" t="inlineStr">
        <is>
          <t>当日新增258.2万</t>
        </is>
      </c>
    </row>
    <row r="14" ht="21.75" customHeight="1" s="69">
      <c r="A14" s="145" t="inlineStr">
        <is>
          <t>独行月球</t>
        </is>
      </c>
      <c r="B14" s="143" t="inlineStr">
        <is>
          <t>预售</t>
        </is>
      </c>
      <c r="C14" s="119" t="inlineStr">
        <is>
          <t>映前4天(07-25)</t>
        </is>
      </c>
      <c r="D14" s="83" t="n">
        <v>27200000</v>
      </c>
      <c r="E14" s="146" t="inlineStr">
        <is>
          <t>当日新增272.0万</t>
        </is>
      </c>
    </row>
    <row r="15" ht="21.75" customHeight="1" s="69">
      <c r="A15" s="142" t="inlineStr">
        <is>
          <t>独行月球</t>
        </is>
      </c>
      <c r="B15" s="143" t="inlineStr">
        <is>
          <t>预售</t>
        </is>
      </c>
      <c r="C15" s="121" t="inlineStr">
        <is>
          <t>映前3天(07-26)</t>
        </is>
      </c>
      <c r="D15" s="77" t="n">
        <v>40040000</v>
      </c>
      <c r="E15" s="144" t="inlineStr">
        <is>
          <t>当日新增400.4万</t>
        </is>
      </c>
    </row>
    <row r="16" ht="21.75" customHeight="1" s="69">
      <c r="A16" s="145" t="inlineStr">
        <is>
          <t>独行月球</t>
        </is>
      </c>
      <c r="B16" s="143" t="inlineStr">
        <is>
          <t>预售</t>
        </is>
      </c>
      <c r="C16" s="119" t="inlineStr">
        <is>
          <t>映前2天(07-27)</t>
        </is>
      </c>
      <c r="D16" s="83" t="n">
        <v>89600000</v>
      </c>
      <c r="E16" s="146" t="inlineStr">
        <is>
          <t>当日新增896.0万</t>
        </is>
      </c>
    </row>
    <row r="17" ht="21.75" customHeight="1" s="69">
      <c r="A17" s="142" t="inlineStr">
        <is>
          <t>独行月球</t>
        </is>
      </c>
      <c r="B17" s="143" t="inlineStr">
        <is>
          <t>预售</t>
        </is>
      </c>
      <c r="C17" s="121" t="inlineStr">
        <is>
          <t>映前1天(07-28)</t>
        </is>
      </c>
      <c r="D17" s="78" t="n">
        <v>273500000</v>
      </c>
      <c r="E17" s="144" t="inlineStr">
        <is>
          <t>当日新增2735.0万，预售集中爆发</t>
        </is>
      </c>
    </row>
    <row r="18" ht="21.75" customHeight="1" s="69">
      <c r="A18" s="145" t="inlineStr">
        <is>
          <t>独行月球</t>
        </is>
      </c>
      <c r="B18" s="147" t="inlineStr">
        <is>
          <t>票房</t>
        </is>
      </c>
      <c r="C18" s="80" t="inlineStr">
        <is>
          <t>2022-07-29(上映首日)</t>
        </is>
      </c>
      <c r="D18" s="83" t="n">
        <v>200000000</v>
      </c>
      <c r="E18" s="146" t="inlineStr">
        <is>
          <t>首日票房(含预售)破2亿</t>
        </is>
      </c>
    </row>
    <row r="19" ht="21.75" customHeight="1" s="69">
      <c r="A19" s="142" t="inlineStr">
        <is>
          <t>独行月球</t>
        </is>
      </c>
      <c r="B19" s="147" t="inlineStr">
        <is>
          <t>票房</t>
        </is>
      </c>
      <c r="C19" s="74" t="inlineStr">
        <is>
          <t>2022-07-31(上映第3天)</t>
        </is>
      </c>
      <c r="D19" s="77" t="n">
        <v>1000000000</v>
      </c>
      <c r="E19" s="148" t="inlineStr">
        <is>
          <t>3天票房破10亿</t>
        </is>
      </c>
    </row>
    <row r="20" ht="21.75" customHeight="1" s="69">
      <c r="A20" s="145" t="inlineStr">
        <is>
          <t>独行月球</t>
        </is>
      </c>
      <c r="B20" s="147" t="inlineStr">
        <is>
          <t>票房</t>
        </is>
      </c>
      <c r="C20" s="119" t="inlineStr">
        <is>
          <t>累计总票房</t>
        </is>
      </c>
      <c r="D20" s="78" t="n">
        <v>3103000000</v>
      </c>
      <c r="E20" s="146" t="inlineStr">
        <is>
          <t>最终累计票房31.03亿，2022年度亚军</t>
        </is>
      </c>
    </row>
    <row r="21" ht="21.75" customHeight="1" s="69">
      <c r="A21" s="142" t="inlineStr">
        <is>
          <t>欢迎来龙餐馆</t>
        </is>
      </c>
      <c r="B21" s="143" t="inlineStr">
        <is>
          <t>预售</t>
        </is>
      </c>
      <c r="C21" s="74" t="inlineStr">
        <is>
          <t>2026-08-06 14:45(映前5天)</t>
        </is>
      </c>
      <c r="D21" s="149" t="n">
        <v>18030000</v>
      </c>
      <c r="E21" s="144" t="inlineStr">
        <is>
          <t>点映及预售总票房180.3万；预售总票房3.5万；首日预售3.0万；首日排片占比77.1%；首日黄金场占比78.6%</t>
        </is>
      </c>
    </row>
    <row r="22" ht="21.75" customHeight="1" s="69">
      <c r="A22" s="145" t="inlineStr">
        <is>
          <t>欢迎来龙餐馆</t>
        </is>
      </c>
      <c r="B22" s="147" t="inlineStr">
        <is>
          <t>票房</t>
        </is>
      </c>
      <c r="C22" s="119" t="inlineStr">
        <is>
          <t>未上映</t>
        </is>
      </c>
      <c r="D22" s="137" t="inlineStr">
        <is>
          <t>—</t>
        </is>
      </c>
      <c r="E22" s="99" t="inlineStr">
        <is>
          <t>8月11日全国公映，8月8-10日超前点映</t>
        </is>
      </c>
    </row>
    <row r="23" ht="18" customHeight="1" s="69">
      <c r="A23" s="123" t="inlineStr">
        <is>
          <t>数据来源：猫眼专业版；金额为关键节点公开数据。</t>
        </is>
      </c>
    </row>
  </sheetData>
  <mergeCells count="2">
    <mergeCell ref="A1:E1"/>
    <mergeCell ref="A23:E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2026-08-06T02:21:01Z</dcterms:created>
  <dcterms:modified xmlns:dcterms="http://purl.org/dc/terms/" xmlns:xsi="http://www.w3.org/2001/XMLSchema-instance" xsi:type="dcterms:W3CDTF">2026-08-06T17:44:04Z</dcterms:modified>
  <cp:revision>0</cp:revision>
</cp:coreProperties>
</file>